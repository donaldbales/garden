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/Work/garden/"/>
    </mc:Choice>
  </mc:AlternateContent>
  <xr:revisionPtr revIDLastSave="0" documentId="13_ncr:1_{C0EA19B1-52F9-C141-9D60-01888E71C0BF}" xr6:coauthVersionLast="47" xr6:coauthVersionMax="47" xr10:uidLastSave="{00000000-0000-0000-0000-000000000000}"/>
  <bookViews>
    <workbookView xWindow="9240" yWindow="9160" windowWidth="34080" windowHeight="26960" xr2:uid="{F6389DD9-05E2-0B44-B5F6-7B0DC9EA7265}"/>
  </bookViews>
  <sheets>
    <sheet name="Burpee" sheetId="1" r:id="rId1"/>
    <sheet name="CMGH Seasons" sheetId="4" r:id="rId2"/>
    <sheet name="My Seas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1" l="1"/>
  <c r="B56" i="1"/>
  <c r="N75" i="1"/>
  <c r="N76" i="1"/>
  <c r="B76" i="1"/>
  <c r="N92" i="1"/>
  <c r="N94" i="1"/>
  <c r="N91" i="1"/>
  <c r="N88" i="1"/>
  <c r="N77" i="1"/>
  <c r="N74" i="1"/>
  <c r="N73" i="1"/>
  <c r="N72" i="1"/>
  <c r="N70" i="1"/>
  <c r="N65" i="1"/>
  <c r="N64" i="1"/>
  <c r="N63" i="1"/>
  <c r="N62" i="1"/>
  <c r="N61" i="1"/>
  <c r="N60" i="1"/>
  <c r="N59" i="1"/>
  <c r="N58" i="1"/>
  <c r="N57" i="1"/>
  <c r="N49" i="1"/>
  <c r="N48" i="1"/>
  <c r="N36" i="1"/>
  <c r="N35" i="1"/>
  <c r="N93" i="1"/>
  <c r="N87" i="1"/>
  <c r="N89" i="1"/>
  <c r="N85" i="1"/>
  <c r="N84" i="1"/>
  <c r="N82" i="1"/>
  <c r="N81" i="1"/>
  <c r="N80" i="1"/>
  <c r="N79" i="1"/>
  <c r="N71" i="1"/>
  <c r="N53" i="1"/>
  <c r="N37" i="1"/>
  <c r="N16" i="1"/>
  <c r="N15" i="1"/>
  <c r="N14" i="1"/>
  <c r="N13" i="1"/>
  <c r="N12" i="1"/>
  <c r="N11" i="1"/>
  <c r="N10" i="1"/>
  <c r="N69" i="1"/>
  <c r="N68" i="1"/>
  <c r="N42" i="1"/>
  <c r="N41" i="1"/>
  <c r="N40" i="1"/>
  <c r="N39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5" i="1"/>
  <c r="N38" i="1"/>
  <c r="B75" i="1"/>
  <c r="B11" i="1"/>
  <c r="B43" i="1"/>
  <c r="B7" i="1"/>
  <c r="B94" i="1"/>
  <c r="B49" i="1"/>
  <c r="B42" i="1"/>
  <c r="B41" i="1"/>
  <c r="B39" i="1"/>
  <c r="B18" i="1"/>
  <c r="B23" i="1"/>
  <c r="B19" i="1"/>
  <c r="B26" i="1"/>
  <c r="B21" i="1"/>
  <c r="B74" i="1"/>
  <c r="B89" i="1"/>
  <c r="B57" i="1"/>
  <c r="B5" i="1"/>
  <c r="B4" i="1"/>
  <c r="B15" i="1"/>
  <c r="B16" i="1"/>
  <c r="B24" i="1"/>
  <c r="B29" i="1"/>
  <c r="B27" i="1"/>
  <c r="B30" i="1"/>
  <c r="B22" i="1"/>
  <c r="B20" i="1"/>
  <c r="B28" i="1"/>
  <c r="B25" i="1"/>
  <c r="B35" i="1"/>
  <c r="B36" i="1"/>
  <c r="B37" i="1"/>
  <c r="B40" i="1"/>
  <c r="B47" i="1"/>
  <c r="B48" i="1"/>
  <c r="B54" i="1"/>
  <c r="B55" i="1"/>
  <c r="B68" i="1"/>
  <c r="B69" i="1"/>
  <c r="B70" i="1"/>
  <c r="B71" i="1"/>
  <c r="B86" i="1"/>
  <c r="B93" i="1"/>
  <c r="I38" i="2"/>
  <c r="I53" i="2"/>
  <c r="L51" i="2"/>
  <c r="L52" i="2"/>
  <c r="L38" i="2"/>
  <c r="L53" i="2"/>
  <c r="D56" i="2"/>
  <c r="F56" i="2"/>
  <c r="I56" i="2"/>
  <c r="D55" i="2"/>
  <c r="I55" i="2"/>
  <c r="D57" i="2"/>
  <c r="F57" i="2"/>
  <c r="L57" i="2"/>
  <c r="I22" i="2"/>
  <c r="I54" i="2"/>
  <c r="I23" i="2"/>
  <c r="I24" i="2"/>
  <c r="I25" i="2"/>
  <c r="I26" i="2"/>
  <c r="I27" i="2"/>
  <c r="I46" i="2"/>
  <c r="I28" i="2"/>
  <c r="I29" i="2"/>
  <c r="I30" i="2"/>
  <c r="I31" i="2"/>
  <c r="I32" i="2"/>
  <c r="I47" i="2"/>
  <c r="I48" i="2"/>
  <c r="I33" i="2"/>
  <c r="I49" i="2"/>
  <c r="I34" i="2"/>
  <c r="I35" i="2"/>
  <c r="I36" i="2"/>
  <c r="I37" i="2"/>
  <c r="I50" i="2"/>
  <c r="I51" i="2"/>
  <c r="I52" i="2"/>
  <c r="D54" i="2"/>
  <c r="L54" i="2"/>
  <c r="L6" i="2"/>
  <c r="L7" i="2"/>
  <c r="L39" i="2"/>
  <c r="L40" i="2"/>
  <c r="L8" i="2"/>
  <c r="L9" i="2"/>
  <c r="L10" i="2"/>
  <c r="L11" i="2"/>
  <c r="L12" i="2"/>
  <c r="L41" i="2"/>
  <c r="L13" i="2"/>
  <c r="L14" i="2"/>
  <c r="L15" i="2"/>
  <c r="L16" i="2"/>
  <c r="L17" i="2"/>
  <c r="L42" i="2"/>
  <c r="L18" i="2"/>
  <c r="L19" i="2"/>
  <c r="L43" i="2"/>
  <c r="L44" i="2"/>
  <c r="L45" i="2"/>
  <c r="L20" i="2"/>
  <c r="L21" i="2"/>
  <c r="L22" i="2"/>
  <c r="L23" i="2"/>
  <c r="L24" i="2"/>
  <c r="L25" i="2"/>
  <c r="L26" i="2"/>
  <c r="L27" i="2"/>
  <c r="L46" i="2"/>
  <c r="L28" i="2"/>
  <c r="L29" i="2"/>
  <c r="L30" i="2"/>
  <c r="L31" i="2"/>
  <c r="L32" i="2"/>
  <c r="L47" i="2"/>
  <c r="L48" i="2"/>
  <c r="L33" i="2"/>
  <c r="L49" i="2"/>
  <c r="L34" i="2"/>
  <c r="L35" i="2"/>
  <c r="L36" i="2"/>
  <c r="L37" i="2"/>
  <c r="L50" i="2"/>
  <c r="L5" i="2"/>
  <c r="I6" i="2"/>
  <c r="I7" i="2"/>
  <c r="I39" i="2"/>
  <c r="I40" i="2"/>
  <c r="I8" i="2"/>
  <c r="I9" i="2"/>
  <c r="I10" i="2"/>
  <c r="I11" i="2"/>
  <c r="I12" i="2"/>
  <c r="I41" i="2"/>
  <c r="I13" i="2"/>
  <c r="I14" i="2"/>
  <c r="I15" i="2"/>
  <c r="I16" i="2"/>
  <c r="I17" i="2"/>
  <c r="I42" i="2"/>
  <c r="I18" i="2"/>
  <c r="I19" i="2"/>
  <c r="I43" i="2"/>
  <c r="I44" i="2"/>
  <c r="I45" i="2"/>
  <c r="I20" i="2"/>
  <c r="I21" i="2"/>
  <c r="I5" i="2"/>
  <c r="F6" i="2"/>
  <c r="F7" i="2"/>
  <c r="F39" i="2"/>
  <c r="F40" i="2"/>
  <c r="F8" i="2"/>
  <c r="F9" i="2"/>
  <c r="F10" i="2"/>
  <c r="F11" i="2"/>
  <c r="F12" i="2"/>
  <c r="F41" i="2"/>
  <c r="F13" i="2"/>
  <c r="F14" i="2"/>
  <c r="F15" i="2"/>
  <c r="F16" i="2"/>
  <c r="F17" i="2"/>
  <c r="F42" i="2"/>
  <c r="F18" i="2"/>
  <c r="F19" i="2"/>
  <c r="F43" i="2"/>
  <c r="F44" i="2"/>
  <c r="F45" i="2"/>
  <c r="F20" i="2"/>
  <c r="F21" i="2"/>
  <c r="F22" i="2"/>
  <c r="F23" i="2"/>
  <c r="F24" i="2"/>
  <c r="F25" i="2"/>
  <c r="F26" i="2"/>
  <c r="F27" i="2"/>
  <c r="F46" i="2"/>
  <c r="F28" i="2"/>
  <c r="F29" i="2"/>
  <c r="F30" i="2"/>
  <c r="F31" i="2"/>
  <c r="F32" i="2"/>
  <c r="F47" i="2"/>
  <c r="F48" i="2"/>
  <c r="F33" i="2"/>
  <c r="F49" i="2"/>
  <c r="F34" i="2"/>
  <c r="F35" i="2"/>
  <c r="F36" i="2"/>
  <c r="F37" i="2"/>
  <c r="F50" i="2"/>
  <c r="F51" i="2"/>
  <c r="F52" i="2"/>
  <c r="F38" i="2"/>
  <c r="F53" i="2"/>
  <c r="F5" i="2"/>
  <c r="D6" i="2"/>
  <c r="D7" i="2"/>
  <c r="D39" i="2"/>
  <c r="D40" i="2"/>
  <c r="D8" i="2"/>
  <c r="D9" i="2"/>
  <c r="D10" i="2"/>
  <c r="D11" i="2"/>
  <c r="D12" i="2"/>
  <c r="D41" i="2"/>
  <c r="D13" i="2"/>
  <c r="D14" i="2"/>
  <c r="D15" i="2"/>
  <c r="D16" i="2"/>
  <c r="D17" i="2"/>
  <c r="D42" i="2"/>
  <c r="D18" i="2"/>
  <c r="D19" i="2"/>
  <c r="D43" i="2"/>
  <c r="D44" i="2"/>
  <c r="D45" i="2"/>
  <c r="D20" i="2"/>
  <c r="D21" i="2"/>
  <c r="D22" i="2"/>
  <c r="D23" i="2"/>
  <c r="D24" i="2"/>
  <c r="D25" i="2"/>
  <c r="D26" i="2"/>
  <c r="D27" i="2"/>
  <c r="D46" i="2"/>
  <c r="D28" i="2"/>
  <c r="D29" i="2"/>
  <c r="D30" i="2"/>
  <c r="D31" i="2"/>
  <c r="D32" i="2"/>
  <c r="D47" i="2"/>
  <c r="D48" i="2"/>
  <c r="D33" i="2"/>
  <c r="D49" i="2"/>
  <c r="D34" i="2"/>
  <c r="D35" i="2"/>
  <c r="D36" i="2"/>
  <c r="D37" i="2"/>
  <c r="D50" i="2"/>
  <c r="D51" i="2"/>
  <c r="D52" i="2"/>
  <c r="D38" i="2"/>
  <c r="D53" i="2"/>
  <c r="D5" i="2"/>
  <c r="D58" i="2"/>
  <c r="N90" i="1"/>
  <c r="N67" i="1"/>
  <c r="N44" i="1"/>
  <c r="N17" i="1"/>
  <c r="N9" i="1"/>
  <c r="N8" i="1"/>
  <c r="N51" i="1"/>
  <c r="N52" i="1"/>
  <c r="N50" i="1"/>
  <c r="N46" i="1"/>
  <c r="B8" i="1"/>
  <c r="B9" i="1"/>
  <c r="B10" i="1"/>
  <c r="B12" i="1"/>
  <c r="B13" i="1"/>
  <c r="B14" i="1"/>
  <c r="B17" i="1"/>
  <c r="B31" i="1"/>
  <c r="B32" i="1"/>
  <c r="B33" i="1"/>
  <c r="B34" i="1"/>
  <c r="B38" i="1"/>
  <c r="B44" i="1"/>
  <c r="B45" i="1"/>
  <c r="B46" i="1"/>
  <c r="B50" i="1"/>
  <c r="B51" i="1"/>
  <c r="B52" i="1"/>
  <c r="B53" i="1"/>
  <c r="B58" i="1"/>
  <c r="B59" i="1"/>
  <c r="B60" i="1"/>
  <c r="B61" i="1"/>
  <c r="B62" i="1"/>
  <c r="B63" i="1"/>
  <c r="B64" i="1"/>
  <c r="B65" i="1"/>
  <c r="B66" i="1"/>
  <c r="B67" i="1"/>
  <c r="B72" i="1"/>
  <c r="B73" i="1"/>
  <c r="B77" i="1"/>
  <c r="B78" i="1"/>
  <c r="B79" i="1"/>
  <c r="B80" i="1"/>
  <c r="B81" i="1"/>
  <c r="B82" i="1"/>
  <c r="B84" i="1"/>
  <c r="B85" i="1"/>
  <c r="B87" i="1"/>
  <c r="B88" i="1"/>
  <c r="B90" i="1"/>
  <c r="B91" i="1"/>
  <c r="B92" i="1"/>
  <c r="B6" i="1"/>
  <c r="H90" i="1"/>
</calcChain>
</file>

<file path=xl/sharedStrings.xml><?xml version="1.0" encoding="utf-8"?>
<sst xmlns="http://schemas.openxmlformats.org/spreadsheetml/2006/main" count="569" uniqueCount="199">
  <si>
    <t>Name</t>
  </si>
  <si>
    <t>Maturity</t>
  </si>
  <si>
    <t>Light</t>
  </si>
  <si>
    <t>Full Sun</t>
  </si>
  <si>
    <t>Height</t>
  </si>
  <si>
    <t>Width</t>
  </si>
  <si>
    <t>Lettuce, Gourmet Blend</t>
  </si>
  <si>
    <t>Lettuce, Heatwave Blend</t>
  </si>
  <si>
    <t>Burpee ™ Cool Season Crops</t>
  </si>
  <si>
    <t>Arugula, Rocket</t>
  </si>
  <si>
    <t>spring</t>
  </si>
  <si>
    <t>fall</t>
  </si>
  <si>
    <t>Sown from seed outdoors</t>
  </si>
  <si>
    <t>Radish, Watermelon</t>
  </si>
  <si>
    <t>Lettuce, Salad Bowl</t>
  </si>
  <si>
    <t>spring/fall</t>
  </si>
  <si>
    <t>Start Fall</t>
  </si>
  <si>
    <t>Start Spring</t>
  </si>
  <si>
    <t>Kale, Dwarf Vlue Curles Vates</t>
  </si>
  <si>
    <t>Collard Green, Top Chop Hybrid</t>
  </si>
  <si>
    <t>Full Sun, Part Sun</t>
  </si>
  <si>
    <t>Mesclun, Classic Mix</t>
  </si>
  <si>
    <t>Radish, French Breakfast Organic</t>
  </si>
  <si>
    <t>Chinese Cabbage, Pak Choi, Joi Choi Hybrid</t>
  </si>
  <si>
    <t>Cauliflower, Twister Hybrid</t>
  </si>
  <si>
    <t>Mustard, Tendergreen</t>
  </si>
  <si>
    <t>Radish, Crimson Giant</t>
  </si>
  <si>
    <t>Radish, White Icycle</t>
  </si>
  <si>
    <t>Radish, Salad Rose</t>
  </si>
  <si>
    <t>Radish, Burpee White</t>
  </si>
  <si>
    <t>Lettuce, Prizeleaf</t>
  </si>
  <si>
    <t>Broccoli Raab, Spring</t>
  </si>
  <si>
    <t>Broccoli Raab, Rapini Organic</t>
  </si>
  <si>
    <t>Cauliflower, Snowball Self-Blanching</t>
  </si>
  <si>
    <t>Lettuce, Little Caesar</t>
  </si>
  <si>
    <t>Lettuce, Vivian</t>
  </si>
  <si>
    <t>Lettuce, Iceberg A</t>
  </si>
  <si>
    <t>Cauliflower, Depurple Hybrid</t>
  </si>
  <si>
    <t>Lettuce, Igloo</t>
  </si>
  <si>
    <t>Pea, Little SnapPea Crunch</t>
  </si>
  <si>
    <t>Cauliflower, Early White Hybrid</t>
  </si>
  <si>
    <t>n/a</t>
  </si>
  <si>
    <t>Rutabaga, Burpees Purple Top</t>
  </si>
  <si>
    <t>Pea, Maestro</t>
  </si>
  <si>
    <t>Cabbage, Baby Choi Organic</t>
  </si>
  <si>
    <t>Radicchio, Chicory Red Verona</t>
  </si>
  <si>
    <t>Garlic, Elephant</t>
  </si>
  <si>
    <t>Garlic, Chesnok Red</t>
  </si>
  <si>
    <t>Garlic, Sonoran</t>
  </si>
  <si>
    <t>Corn Salad (Mache), Vit Organic</t>
  </si>
  <si>
    <t>Beet, Bulls Blood</t>
  </si>
  <si>
    <t>Beet, Burpess Red Ball</t>
  </si>
  <si>
    <t>Tomato, Cloudy Day Hybrid</t>
  </si>
  <si>
    <t>Indeterminate</t>
  </si>
  <si>
    <t>Squash, Winter, Vegetable Spaghetti</t>
  </si>
  <si>
    <t>Spinach, New Zealand</t>
  </si>
  <si>
    <t>Broccoli, Purple Sprouting</t>
  </si>
  <si>
    <t>Bean, Bush, Contender</t>
  </si>
  <si>
    <t>Corn, Early Sunglow Hybrid</t>
  </si>
  <si>
    <t>Squash, Winter, Baked Potatoes Hybrid</t>
  </si>
  <si>
    <t>Potato, Ricky Mountain Russet</t>
  </si>
  <si>
    <t>Short</t>
  </si>
  <si>
    <t>Min Germ F</t>
  </si>
  <si>
    <t>Opt Germ F</t>
  </si>
  <si>
    <t>Min Grow F</t>
  </si>
  <si>
    <t>Opt Grow F</t>
  </si>
  <si>
    <t>Max Grow F</t>
  </si>
  <si>
    <t>broccoli</t>
  </si>
  <si>
    <t>cabbage</t>
  </si>
  <si>
    <t>cauliflower</t>
  </si>
  <si>
    <t>carrots</t>
  </si>
  <si>
    <t>chard</t>
  </si>
  <si>
    <t>garlic</t>
  </si>
  <si>
    <t>kale</t>
  </si>
  <si>
    <t>lettuce</t>
  </si>
  <si>
    <t>spinach</t>
  </si>
  <si>
    <t>arugula</t>
  </si>
  <si>
    <t>Fall</t>
  </si>
  <si>
    <t>Spring</t>
  </si>
  <si>
    <t>beets</t>
  </si>
  <si>
    <t>collards</t>
  </si>
  <si>
    <t>mustard</t>
  </si>
  <si>
    <t>turnips</t>
  </si>
  <si>
    <t>asparagus</t>
  </si>
  <si>
    <t>endive</t>
  </si>
  <si>
    <t>horseradish</t>
  </si>
  <si>
    <t>kohlrabi</t>
  </si>
  <si>
    <t>Yavapai County Planting Dates</t>
  </si>
  <si>
    <t>U of A</t>
  </si>
  <si>
    <t>radish</t>
  </si>
  <si>
    <t>rhubarb</t>
  </si>
  <si>
    <t>rutabaga</t>
  </si>
  <si>
    <t>salsify</t>
  </si>
  <si>
    <t>c</t>
  </si>
  <si>
    <t>w</t>
  </si>
  <si>
    <t>artichoke</t>
  </si>
  <si>
    <t>C</t>
  </si>
  <si>
    <t>beans, lima</t>
  </si>
  <si>
    <t>beans, snap</t>
  </si>
  <si>
    <t>brussels sprouts</t>
  </si>
  <si>
    <t>cabbage, Chinese</t>
  </si>
  <si>
    <t>celeriac</t>
  </si>
  <si>
    <t>celery</t>
  </si>
  <si>
    <t>chayote</t>
  </si>
  <si>
    <t>chives</t>
  </si>
  <si>
    <t>corn, sweet</t>
  </si>
  <si>
    <t>cucumbers</t>
  </si>
  <si>
    <t>eggplant</t>
  </si>
  <si>
    <t>Florence fennel</t>
  </si>
  <si>
    <t>leeks</t>
  </si>
  <si>
    <t>okra</t>
  </si>
  <si>
    <t>onions, bulb</t>
  </si>
  <si>
    <t>onions, green</t>
  </si>
  <si>
    <t>parsley</t>
  </si>
  <si>
    <t>parsnips</t>
  </si>
  <si>
    <t>peas</t>
  </si>
  <si>
    <t>peppers</t>
  </si>
  <si>
    <t>potatoes, sweet</t>
  </si>
  <si>
    <t>potatoes, white</t>
  </si>
  <si>
    <t>pumpkins</t>
  </si>
  <si>
    <t>rutabag</t>
  </si>
  <si>
    <t>squash, summer</t>
  </si>
  <si>
    <t>squash, winter</t>
  </si>
  <si>
    <t>tomatoes</t>
  </si>
  <si>
    <t>watermelons</t>
  </si>
  <si>
    <t>cantaloupes melons</t>
  </si>
  <si>
    <t xml:space="preserve">Vegetable </t>
  </si>
  <si>
    <t>Crop Type</t>
  </si>
  <si>
    <t>California Master Gardener Manual</t>
  </si>
  <si>
    <t>Crop Types</t>
  </si>
  <si>
    <r>
      <t>onions</t>
    </r>
    <r>
      <rPr>
        <sz val="12"/>
        <color rgb="FFFF0000"/>
        <rFont val="Aptos Narrow (Body)"/>
      </rPr>
      <t>, bulb</t>
    </r>
  </si>
  <si>
    <r>
      <t>turnip</t>
    </r>
    <r>
      <rPr>
        <sz val="12"/>
        <color rgb="FFFF0000"/>
        <rFont val="Aptos Narrow (Body)"/>
      </rPr>
      <t>s</t>
    </r>
  </si>
  <si>
    <r>
      <t>pea</t>
    </r>
    <r>
      <rPr>
        <sz val="12"/>
        <color rgb="FFFF0000"/>
        <rFont val="Aptos Narrow (Body)"/>
      </rPr>
      <t>s</t>
    </r>
  </si>
  <si>
    <r>
      <t>leek</t>
    </r>
    <r>
      <rPr>
        <sz val="12"/>
        <color rgb="FFFF0000"/>
        <rFont val="Aptos Narrow (Body)"/>
      </rPr>
      <t>s</t>
    </r>
  </si>
  <si>
    <r>
      <t>collard</t>
    </r>
    <r>
      <rPr>
        <sz val="12"/>
        <color rgb="FFFF0000"/>
        <rFont val="Aptos Narrow (Body)"/>
      </rPr>
      <t>s</t>
    </r>
  </si>
  <si>
    <r>
      <t>pepper</t>
    </r>
    <r>
      <rPr>
        <sz val="12"/>
        <color rgb="FFFF0000"/>
        <rFont val="Aptos Narrow (Body)"/>
      </rPr>
      <t>s</t>
    </r>
  </si>
  <si>
    <r>
      <t>carrot</t>
    </r>
    <r>
      <rPr>
        <sz val="12"/>
        <color rgb="FFFF0000"/>
        <rFont val="Aptos Narrow (Body)"/>
      </rPr>
      <t>s</t>
    </r>
  </si>
  <si>
    <r>
      <t>beet</t>
    </r>
    <r>
      <rPr>
        <sz val="12"/>
        <color rgb="FFFF0000"/>
        <rFont val="Aptos Narrow (Body)"/>
      </rPr>
      <t>s</t>
    </r>
  </si>
  <si>
    <r>
      <t>onion</t>
    </r>
    <r>
      <rPr>
        <sz val="12"/>
        <color rgb="FFFF0000"/>
        <rFont val="Aptos Narrow (Body)"/>
      </rPr>
      <t>s</t>
    </r>
    <r>
      <rPr>
        <sz val="12"/>
        <color theme="1"/>
        <rFont val="Aptos Narrow"/>
        <family val="2"/>
        <scheme val="minor"/>
      </rPr>
      <t>, bulb</t>
    </r>
  </si>
  <si>
    <r>
      <t>pars</t>
    </r>
    <r>
      <rPr>
        <sz val="12"/>
        <color rgb="FFFF0000"/>
        <rFont val="Aptos Narrow (Body)"/>
      </rPr>
      <t>le</t>
    </r>
    <r>
      <rPr>
        <sz val="12"/>
        <color theme="1"/>
        <rFont val="Aptos Narrow"/>
        <family val="2"/>
        <scheme val="minor"/>
      </rPr>
      <t>y</t>
    </r>
  </si>
  <si>
    <t>Season</t>
  </si>
  <si>
    <t>Equals</t>
  </si>
  <si>
    <r>
      <t>onion</t>
    </r>
    <r>
      <rPr>
        <sz val="12"/>
        <color rgb="FFFF0000"/>
        <rFont val="Aptos Narrow (Body)"/>
      </rPr>
      <t>s</t>
    </r>
    <r>
      <rPr>
        <sz val="12"/>
        <color theme="1"/>
        <rFont val="Aptos Narrow"/>
        <family val="2"/>
        <scheme val="minor"/>
      </rPr>
      <t>, bunch</t>
    </r>
  </si>
  <si>
    <r>
      <t>onion</t>
    </r>
    <r>
      <rPr>
        <sz val="12"/>
        <color rgb="FFFF0000"/>
        <rFont val="Aptos Narrow (Body)"/>
      </rPr>
      <t>s</t>
    </r>
    <r>
      <rPr>
        <sz val="12"/>
        <color theme="1"/>
        <rFont val="Aptos Narrow"/>
        <family val="2"/>
        <scheme val="minor"/>
      </rPr>
      <t>, seed</t>
    </r>
  </si>
  <si>
    <t>onions, bunch</t>
  </si>
  <si>
    <t>onions, seed</t>
  </si>
  <si>
    <t>W</t>
  </si>
  <si>
    <t>Onions, Bulb</t>
  </si>
  <si>
    <t>Onions, green</t>
  </si>
  <si>
    <t>Carrot, Nantes Half Long</t>
  </si>
  <si>
    <t>Carrot, Touchon</t>
  </si>
  <si>
    <t>Carrot, Short n Sweet</t>
  </si>
  <si>
    <t>Carrot, Yaya Organic</t>
  </si>
  <si>
    <t>Carrot, Kaleidoscope Blend</t>
  </si>
  <si>
    <t>Carrot, Danvers 126</t>
  </si>
  <si>
    <t>Carrot, Sugarsnax Hybrid</t>
  </si>
  <si>
    <t>Lettuce, Buttercrunch</t>
  </si>
  <si>
    <t>Chard, Swiss, Bright Lights</t>
  </si>
  <si>
    <t>Spinach, Salad Sensation Hybrid</t>
  </si>
  <si>
    <t>Brussels Sprouts, Green Gems Hybrid</t>
  </si>
  <si>
    <t>Pea, Super Snappy</t>
  </si>
  <si>
    <t>Carrot, Purplesnax Hybrid</t>
  </si>
  <si>
    <t>Carrot, Little Finger</t>
  </si>
  <si>
    <t>Carrot, Caracas Hybrid</t>
  </si>
  <si>
    <t>Carrot, Red Cored Chantenay</t>
  </si>
  <si>
    <t>Carrot, Deep Purple Hybrid</t>
  </si>
  <si>
    <t>Carrot, Candysnax Hybrid</t>
  </si>
  <si>
    <t>Chives, Delores</t>
  </si>
  <si>
    <t>Chives, Allion</t>
  </si>
  <si>
    <t>Chives, Garlic</t>
  </si>
  <si>
    <t>Chives, Garlic Geisha</t>
  </si>
  <si>
    <t>Parsley, Single Italian</t>
  </si>
  <si>
    <t>Fennel, Orion Hybrid</t>
  </si>
  <si>
    <t>Zuchinni, Squash, Burpees Best Hybrid</t>
  </si>
  <si>
    <t>Fennel, Florence</t>
  </si>
  <si>
    <t xml:space="preserve">Endive, </t>
  </si>
  <si>
    <t xml:space="preserve">Celeriac, </t>
  </si>
  <si>
    <t xml:space="preserve">Celery, </t>
  </si>
  <si>
    <t xml:space="preserve">Leeks, </t>
  </si>
  <si>
    <t xml:space="preserve">Rhubarb, </t>
  </si>
  <si>
    <t xml:space="preserve">Cilantro, </t>
  </si>
  <si>
    <t>Artichoke,</t>
  </si>
  <si>
    <t>Verified these against Knott's</t>
  </si>
  <si>
    <t>summer</t>
  </si>
  <si>
    <t>Table 5.4</t>
  </si>
  <si>
    <t>Table 5.3</t>
  </si>
  <si>
    <t>Pepper, Sweet</t>
  </si>
  <si>
    <t>Pepper, Hot</t>
  </si>
  <si>
    <t>Asparagus, Millenium</t>
  </si>
  <si>
    <t>Basil, Sweet</t>
  </si>
  <si>
    <t>Spring|Fall</t>
  </si>
  <si>
    <t>Cabbage, Earliana</t>
  </si>
  <si>
    <t>?</t>
  </si>
  <si>
    <t>Turnips, Purple Top</t>
  </si>
  <si>
    <t>Lettuce, Bibb</t>
  </si>
  <si>
    <t>Kohlrabi, Konan Hybrid</t>
  </si>
  <si>
    <t>Parsnips, Hollow Crown</t>
  </si>
  <si>
    <t>Beet, Detroit Dark Red Medium Top</t>
  </si>
  <si>
    <t>Radish, Solaris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</si>
</sst>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FF0000"/>
      <name val="Aptos Narrow (Body)"/>
    </font>
    <font>
      <sz val="12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2" borderId="0" xfId="0" applyFill="1"/>
    <xf numFmtId="0" fontId="4" fillId="0" borderId="0" xfId="0" applyFont="1"/>
    <xf numFmtId="0" fontId="1" fillId="0" borderId="0" xfId="0" applyFont="1"/>
    <xf numFmtId="16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0" fillId="3" borderId="0" xfId="0" applyFill="1"/>
    <xf numFmtId="164" fontId="0" fillId="3" borderId="0" xfId="0" applyNumberFormat="1" applyFill="1" applyAlignment="1">
      <alignment horizontal="right"/>
    </xf>
    <xf numFmtId="0" fontId="1" fillId="3" borderId="0" xfId="0" applyFont="1" applyFill="1"/>
    <xf numFmtId="0" fontId="7" fillId="3" borderId="0" xfId="0" applyFont="1" applyFill="1"/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2B75-8E35-B64D-8D93-A3DACF703E86}">
  <dimension ref="A1:O97"/>
  <sheetViews>
    <sheetView tabSelected="1" zoomScale="150" zoomScaleNormal="150" workbookViewId="0">
      <pane ySplit="3" topLeftCell="A61" activePane="bottomLeft" state="frozen"/>
      <selection pane="bottomLeft" activeCell="I83" sqref="A83:I83"/>
    </sheetView>
  </sheetViews>
  <sheetFormatPr baseColWidth="10" defaultRowHeight="16" x14ac:dyDescent="0.2"/>
  <cols>
    <col min="1" max="1" width="36.6640625" bestFit="1" customWidth="1"/>
    <col min="2" max="2" width="17.33203125" bestFit="1" customWidth="1"/>
    <col min="3" max="3" width="10.1640625" bestFit="1" customWidth="1"/>
    <col min="4" max="4" width="10.6640625" style="4" customWidth="1"/>
    <col min="5" max="5" width="8.6640625" style="4" bestFit="1" customWidth="1"/>
    <col min="6" max="6" width="8" bestFit="1" customWidth="1"/>
    <col min="7" max="7" width="15" bestFit="1" customWidth="1"/>
    <col min="8" max="8" width="6" bestFit="1" customWidth="1"/>
    <col min="9" max="9" width="6.6640625" bestFit="1" customWidth="1"/>
  </cols>
  <sheetData>
    <row r="1" spans="1:15" ht="24" x14ac:dyDescent="0.3">
      <c r="A1" s="3" t="s">
        <v>8</v>
      </c>
      <c r="B1" s="1" t="s">
        <v>12</v>
      </c>
      <c r="J1" t="s">
        <v>184</v>
      </c>
      <c r="M1" t="s">
        <v>185</v>
      </c>
    </row>
    <row r="2" spans="1:15" x14ac:dyDescent="0.2">
      <c r="J2" s="12" t="s">
        <v>182</v>
      </c>
      <c r="M2" s="12" t="s">
        <v>182</v>
      </c>
    </row>
    <row r="3" spans="1:15" x14ac:dyDescent="0.2">
      <c r="A3" s="2" t="s">
        <v>0</v>
      </c>
      <c r="B3" s="2" t="s">
        <v>61</v>
      </c>
      <c r="C3" s="2" t="s">
        <v>190</v>
      </c>
      <c r="D3" s="5" t="s">
        <v>17</v>
      </c>
      <c r="E3" s="5" t="s">
        <v>16</v>
      </c>
      <c r="F3" s="2" t="s">
        <v>1</v>
      </c>
      <c r="G3" s="2" t="s">
        <v>2</v>
      </c>
      <c r="H3" s="2" t="s">
        <v>5</v>
      </c>
      <c r="I3" s="2" t="s">
        <v>4</v>
      </c>
      <c r="J3" s="2" t="s">
        <v>62</v>
      </c>
      <c r="K3" s="2" t="s">
        <v>63</v>
      </c>
      <c r="L3" s="2"/>
      <c r="M3" s="2" t="s">
        <v>64</v>
      </c>
      <c r="N3" s="2" t="s">
        <v>65</v>
      </c>
      <c r="O3" s="2" t="s">
        <v>66</v>
      </c>
    </row>
    <row r="4" spans="1:15" x14ac:dyDescent="0.2">
      <c r="A4" t="s">
        <v>188</v>
      </c>
      <c r="B4" t="str">
        <f t="shared" ref="B4:B35" si="0">MID(A4,1,FIND(",",A4,1)-1)</f>
        <v>Asparagus</v>
      </c>
      <c r="C4" t="s">
        <v>15</v>
      </c>
      <c r="D4" s="4">
        <v>46012</v>
      </c>
      <c r="E4" s="4">
        <v>45878</v>
      </c>
      <c r="J4" s="12">
        <v>50</v>
      </c>
      <c r="K4" s="12">
        <v>75</v>
      </c>
      <c r="L4" s="12">
        <v>95</v>
      </c>
    </row>
    <row r="5" spans="1:15" x14ac:dyDescent="0.2">
      <c r="A5" t="s">
        <v>181</v>
      </c>
      <c r="B5" t="str">
        <f t="shared" si="0"/>
        <v>Artichoke</v>
      </c>
      <c r="C5" t="s">
        <v>41</v>
      </c>
      <c r="M5" s="12">
        <v>45</v>
      </c>
      <c r="N5" s="12">
        <f>60+((65-60)/2)</f>
        <v>62.5</v>
      </c>
      <c r="O5" s="12">
        <v>75</v>
      </c>
    </row>
    <row r="6" spans="1:15" x14ac:dyDescent="0.2">
      <c r="A6" s="15" t="s">
        <v>9</v>
      </c>
      <c r="B6" s="15" t="str">
        <f t="shared" si="0"/>
        <v>Arugula</v>
      </c>
      <c r="C6" s="15" t="s">
        <v>11</v>
      </c>
      <c r="D6" s="16"/>
      <c r="E6" s="16">
        <v>45555</v>
      </c>
      <c r="F6" s="15">
        <v>35</v>
      </c>
      <c r="G6" s="15" t="s">
        <v>20</v>
      </c>
      <c r="H6" s="15">
        <v>4</v>
      </c>
      <c r="I6" s="15">
        <v>14</v>
      </c>
      <c r="J6" s="15"/>
      <c r="K6" s="15"/>
      <c r="L6" s="15"/>
      <c r="M6" s="15"/>
      <c r="N6" s="15"/>
      <c r="O6" s="15"/>
    </row>
    <row r="7" spans="1:15" x14ac:dyDescent="0.2">
      <c r="A7" s="7" t="s">
        <v>189</v>
      </c>
      <c r="B7" t="str">
        <f t="shared" si="0"/>
        <v>Basil</v>
      </c>
      <c r="C7" t="s">
        <v>10</v>
      </c>
      <c r="D7" s="4">
        <v>45745</v>
      </c>
      <c r="F7">
        <v>90</v>
      </c>
      <c r="G7" t="s">
        <v>3</v>
      </c>
      <c r="H7">
        <v>14</v>
      </c>
      <c r="I7">
        <v>18</v>
      </c>
    </row>
    <row r="8" spans="1:15" x14ac:dyDescent="0.2">
      <c r="A8" s="10" t="s">
        <v>57</v>
      </c>
      <c r="B8" t="str">
        <f t="shared" si="0"/>
        <v>Bean</v>
      </c>
      <c r="C8" t="s">
        <v>10</v>
      </c>
      <c r="D8" s="4">
        <v>45380</v>
      </c>
      <c r="F8">
        <v>55</v>
      </c>
      <c r="G8" t="s">
        <v>3</v>
      </c>
      <c r="H8">
        <v>30</v>
      </c>
      <c r="I8">
        <v>30</v>
      </c>
      <c r="J8" s="12">
        <v>60</v>
      </c>
      <c r="K8" s="12">
        <v>80</v>
      </c>
      <c r="L8" s="12">
        <v>95</v>
      </c>
      <c r="M8" s="12">
        <v>50</v>
      </c>
      <c r="N8" s="12">
        <f>70-((70-60)/2)</f>
        <v>65</v>
      </c>
      <c r="O8" s="12">
        <v>80</v>
      </c>
    </row>
    <row r="9" spans="1:15" x14ac:dyDescent="0.2">
      <c r="A9" s="21" t="s">
        <v>50</v>
      </c>
      <c r="B9" s="15" t="str">
        <f t="shared" si="0"/>
        <v>Beet</v>
      </c>
      <c r="C9" s="15" t="s">
        <v>15</v>
      </c>
      <c r="D9" s="16">
        <v>45345</v>
      </c>
      <c r="E9" s="16">
        <v>45569</v>
      </c>
      <c r="F9" s="15">
        <v>52</v>
      </c>
      <c r="G9" s="15" t="s">
        <v>3</v>
      </c>
      <c r="H9" s="15">
        <v>12</v>
      </c>
      <c r="I9" s="15">
        <v>10</v>
      </c>
      <c r="J9" s="18">
        <v>40</v>
      </c>
      <c r="K9" s="18">
        <v>85</v>
      </c>
      <c r="L9" s="18">
        <v>95</v>
      </c>
      <c r="M9" s="18">
        <v>40</v>
      </c>
      <c r="N9" s="18">
        <f>65-((65-60)/2)</f>
        <v>62.5</v>
      </c>
      <c r="O9" s="18">
        <v>75</v>
      </c>
    </row>
    <row r="10" spans="1:15" x14ac:dyDescent="0.2">
      <c r="A10" s="15" t="s">
        <v>51</v>
      </c>
      <c r="B10" s="15" t="str">
        <f t="shared" si="0"/>
        <v>Beet</v>
      </c>
      <c r="C10" s="15" t="s">
        <v>15</v>
      </c>
      <c r="D10" s="16">
        <v>45345</v>
      </c>
      <c r="E10" s="16">
        <v>45569</v>
      </c>
      <c r="F10" s="15">
        <v>60</v>
      </c>
      <c r="G10" s="15" t="s">
        <v>3</v>
      </c>
      <c r="H10" s="15">
        <v>12</v>
      </c>
      <c r="I10" s="15">
        <v>10</v>
      </c>
      <c r="J10" s="18">
        <v>40</v>
      </c>
      <c r="K10" s="18">
        <v>85</v>
      </c>
      <c r="L10" s="18">
        <v>95</v>
      </c>
      <c r="M10" s="18">
        <v>40</v>
      </c>
      <c r="N10" s="18">
        <f t="shared" ref="N10:N14" si="1">65-((65-60)/2)</f>
        <v>62.5</v>
      </c>
      <c r="O10" s="18">
        <v>75</v>
      </c>
    </row>
    <row r="11" spans="1:15" x14ac:dyDescent="0.2">
      <c r="A11" s="17" t="s">
        <v>197</v>
      </c>
      <c r="B11" s="15" t="str">
        <f t="shared" si="0"/>
        <v>Beet</v>
      </c>
      <c r="C11" s="15" t="s">
        <v>15</v>
      </c>
      <c r="D11" s="16">
        <v>45710</v>
      </c>
      <c r="E11" s="16">
        <v>45934</v>
      </c>
      <c r="F11" s="15">
        <v>59</v>
      </c>
      <c r="G11" s="15" t="s">
        <v>3</v>
      </c>
      <c r="H11" s="15">
        <v>10</v>
      </c>
      <c r="I11" s="15">
        <v>12</v>
      </c>
      <c r="J11" s="18">
        <v>40</v>
      </c>
      <c r="K11" s="18">
        <v>85</v>
      </c>
      <c r="L11" s="18">
        <v>95</v>
      </c>
      <c r="M11" s="18">
        <v>40</v>
      </c>
      <c r="N11" s="18">
        <f t="shared" si="1"/>
        <v>62.5</v>
      </c>
      <c r="O11" s="18">
        <v>75</v>
      </c>
    </row>
    <row r="12" spans="1:15" x14ac:dyDescent="0.2">
      <c r="A12" t="s">
        <v>32</v>
      </c>
      <c r="B12" t="str">
        <f t="shared" si="0"/>
        <v>Broccoli Raab</v>
      </c>
      <c r="C12" t="s">
        <v>10</v>
      </c>
      <c r="D12" s="4">
        <v>45338</v>
      </c>
      <c r="F12">
        <v>70</v>
      </c>
      <c r="G12" t="s">
        <v>3</v>
      </c>
      <c r="H12">
        <v>12</v>
      </c>
      <c r="I12">
        <v>30</v>
      </c>
      <c r="J12" s="6">
        <v>40</v>
      </c>
      <c r="K12" s="6">
        <v>60</v>
      </c>
      <c r="L12" s="6"/>
      <c r="M12" s="12">
        <v>40</v>
      </c>
      <c r="N12" s="12">
        <f t="shared" si="1"/>
        <v>62.5</v>
      </c>
      <c r="O12" s="12">
        <v>75</v>
      </c>
    </row>
    <row r="13" spans="1:15" x14ac:dyDescent="0.2">
      <c r="A13" t="s">
        <v>31</v>
      </c>
      <c r="B13" t="str">
        <f t="shared" si="0"/>
        <v>Broccoli Raab</v>
      </c>
      <c r="C13" t="s">
        <v>10</v>
      </c>
      <c r="D13" s="4">
        <v>45338</v>
      </c>
      <c r="F13">
        <v>60</v>
      </c>
      <c r="G13" t="s">
        <v>3</v>
      </c>
      <c r="H13">
        <v>12</v>
      </c>
      <c r="I13">
        <v>36</v>
      </c>
      <c r="J13" s="6">
        <v>40</v>
      </c>
      <c r="K13" s="6">
        <v>60</v>
      </c>
      <c r="L13" s="6"/>
      <c r="M13" s="12">
        <v>40</v>
      </c>
      <c r="N13" s="12">
        <f t="shared" si="1"/>
        <v>62.5</v>
      </c>
      <c r="O13" s="12">
        <v>75</v>
      </c>
    </row>
    <row r="14" spans="1:15" x14ac:dyDescent="0.2">
      <c r="A14" t="s">
        <v>56</v>
      </c>
      <c r="B14" t="str">
        <f t="shared" si="0"/>
        <v>Broccoli</v>
      </c>
      <c r="C14" t="s">
        <v>10</v>
      </c>
      <c r="D14" s="4">
        <v>45345</v>
      </c>
      <c r="F14">
        <v>200</v>
      </c>
      <c r="G14" t="s">
        <v>3</v>
      </c>
      <c r="H14">
        <v>12</v>
      </c>
      <c r="I14">
        <v>30</v>
      </c>
      <c r="J14" s="6">
        <v>40</v>
      </c>
      <c r="K14" s="6">
        <v>60</v>
      </c>
      <c r="L14" s="6"/>
      <c r="M14" s="12">
        <v>40</v>
      </c>
      <c r="N14" s="12">
        <f t="shared" si="1"/>
        <v>62.5</v>
      </c>
      <c r="O14" s="12">
        <v>75</v>
      </c>
    </row>
    <row r="15" spans="1:15" x14ac:dyDescent="0.2">
      <c r="A15" s="2" t="s">
        <v>159</v>
      </c>
      <c r="B15" s="2" t="str">
        <f t="shared" si="0"/>
        <v>Brussels Sprouts</v>
      </c>
      <c r="C15" s="2" t="s">
        <v>41</v>
      </c>
      <c r="D15" s="5"/>
      <c r="E15" s="5"/>
      <c r="F15" s="2"/>
      <c r="G15" s="2"/>
      <c r="H15" s="2"/>
      <c r="I15" s="2"/>
      <c r="J15" s="2"/>
      <c r="K15" s="2"/>
      <c r="L15" s="2"/>
      <c r="M15" s="12">
        <v>40</v>
      </c>
      <c r="N15" s="12">
        <f>65-((65-60)/2)</f>
        <v>62.5</v>
      </c>
      <c r="O15" s="12">
        <v>75</v>
      </c>
    </row>
    <row r="16" spans="1:15" x14ac:dyDescent="0.2">
      <c r="A16" t="s">
        <v>191</v>
      </c>
      <c r="B16" t="str">
        <f t="shared" si="0"/>
        <v>Cabbage</v>
      </c>
      <c r="C16" t="s">
        <v>41</v>
      </c>
      <c r="J16" s="13">
        <v>40</v>
      </c>
      <c r="K16" s="13">
        <v>85</v>
      </c>
      <c r="L16" s="12">
        <v>100</v>
      </c>
      <c r="M16" s="12">
        <v>40</v>
      </c>
      <c r="N16" s="12">
        <f>65-((65-60)/2)</f>
        <v>62.5</v>
      </c>
      <c r="O16" s="12">
        <v>75</v>
      </c>
    </row>
    <row r="17" spans="1:15" x14ac:dyDescent="0.2">
      <c r="A17" t="s">
        <v>44</v>
      </c>
      <c r="B17" t="str">
        <f t="shared" si="0"/>
        <v>Cabbage</v>
      </c>
      <c r="C17" t="s">
        <v>41</v>
      </c>
      <c r="F17">
        <v>50</v>
      </c>
      <c r="G17" t="s">
        <v>3</v>
      </c>
      <c r="H17">
        <v>12</v>
      </c>
      <c r="I17">
        <v>20</v>
      </c>
      <c r="J17" s="12">
        <v>40</v>
      </c>
      <c r="K17" s="12">
        <v>85</v>
      </c>
      <c r="L17" s="12">
        <v>100</v>
      </c>
      <c r="M17">
        <v>40</v>
      </c>
      <c r="N17">
        <f>65-((65-60)/2)</f>
        <v>62.5</v>
      </c>
      <c r="O17">
        <v>75</v>
      </c>
    </row>
    <row r="18" spans="1:15" x14ac:dyDescent="0.2">
      <c r="A18" s="15" t="s">
        <v>166</v>
      </c>
      <c r="B18" s="15" t="str">
        <f t="shared" si="0"/>
        <v>Carrot</v>
      </c>
      <c r="C18" s="15" t="s">
        <v>15</v>
      </c>
      <c r="D18" s="16">
        <v>45345</v>
      </c>
      <c r="E18" s="16">
        <v>45534</v>
      </c>
      <c r="F18" s="15">
        <v>75</v>
      </c>
      <c r="G18" s="15" t="s">
        <v>3</v>
      </c>
      <c r="H18" s="15">
        <v>3</v>
      </c>
      <c r="I18" s="15">
        <v>20</v>
      </c>
      <c r="J18" s="18">
        <v>40</v>
      </c>
      <c r="K18" s="18">
        <v>80</v>
      </c>
      <c r="L18" s="18">
        <v>95</v>
      </c>
      <c r="M18" s="18">
        <v>45</v>
      </c>
      <c r="N18" s="18">
        <f t="shared" ref="N18:N34" si="2">60+((65-60)/2)</f>
        <v>62.5</v>
      </c>
      <c r="O18" s="18">
        <v>75</v>
      </c>
    </row>
    <row r="19" spans="1:15" x14ac:dyDescent="0.2">
      <c r="A19" s="15" t="s">
        <v>163</v>
      </c>
      <c r="B19" s="15" t="str">
        <f t="shared" si="0"/>
        <v>Carrot</v>
      </c>
      <c r="C19" s="15" t="s">
        <v>15</v>
      </c>
      <c r="D19" s="16">
        <v>45345</v>
      </c>
      <c r="E19" s="16">
        <v>45534</v>
      </c>
      <c r="F19" s="15">
        <v>57</v>
      </c>
      <c r="G19" s="15" t="s">
        <v>3</v>
      </c>
      <c r="H19" s="15">
        <v>3</v>
      </c>
      <c r="I19" s="15">
        <v>12</v>
      </c>
      <c r="J19" s="18">
        <v>40</v>
      </c>
      <c r="K19" s="18">
        <v>80</v>
      </c>
      <c r="L19" s="18">
        <v>95</v>
      </c>
      <c r="M19" s="18">
        <v>45</v>
      </c>
      <c r="N19" s="18">
        <f t="shared" si="2"/>
        <v>62.5</v>
      </c>
      <c r="O19" s="18">
        <v>75</v>
      </c>
    </row>
    <row r="20" spans="1:15" x14ac:dyDescent="0.2">
      <c r="A20" s="15" t="s">
        <v>154</v>
      </c>
      <c r="B20" s="15" t="str">
        <f t="shared" si="0"/>
        <v>Carrot</v>
      </c>
      <c r="C20" s="15" t="s">
        <v>15</v>
      </c>
      <c r="D20" s="16">
        <v>45345</v>
      </c>
      <c r="E20" s="16">
        <v>45534</v>
      </c>
      <c r="F20" s="15">
        <v>75</v>
      </c>
      <c r="G20" s="15" t="s">
        <v>3</v>
      </c>
      <c r="H20" s="15">
        <v>3</v>
      </c>
      <c r="I20" s="15">
        <v>8</v>
      </c>
      <c r="J20" s="18">
        <v>40</v>
      </c>
      <c r="K20" s="18">
        <v>80</v>
      </c>
      <c r="L20" s="18">
        <v>95</v>
      </c>
      <c r="M20" s="18">
        <v>45</v>
      </c>
      <c r="N20" s="18">
        <f t="shared" si="2"/>
        <v>62.5</v>
      </c>
      <c r="O20" s="18">
        <v>75</v>
      </c>
    </row>
    <row r="21" spans="1:15" x14ac:dyDescent="0.2">
      <c r="A21" s="15" t="s">
        <v>165</v>
      </c>
      <c r="B21" s="15" t="str">
        <f t="shared" si="0"/>
        <v>Carrot</v>
      </c>
      <c r="C21" s="15" t="s">
        <v>15</v>
      </c>
      <c r="D21" s="16">
        <v>45345</v>
      </c>
      <c r="E21" s="16">
        <v>45534</v>
      </c>
      <c r="F21" s="15">
        <v>80</v>
      </c>
      <c r="G21" s="15" t="s">
        <v>3</v>
      </c>
      <c r="H21" s="15">
        <v>6</v>
      </c>
      <c r="I21" s="15">
        <v>24</v>
      </c>
      <c r="J21" s="18">
        <v>40</v>
      </c>
      <c r="K21" s="18">
        <v>80</v>
      </c>
      <c r="L21" s="18">
        <v>95</v>
      </c>
      <c r="M21" s="18">
        <v>45</v>
      </c>
      <c r="N21" s="18">
        <f t="shared" si="2"/>
        <v>62.5</v>
      </c>
      <c r="O21" s="18">
        <v>75</v>
      </c>
    </row>
    <row r="22" spans="1:15" x14ac:dyDescent="0.2">
      <c r="A22" s="15" t="s">
        <v>153</v>
      </c>
      <c r="B22" s="15" t="str">
        <f t="shared" si="0"/>
        <v>Carrot</v>
      </c>
      <c r="C22" s="15" t="s">
        <v>15</v>
      </c>
      <c r="D22" s="16">
        <v>45345</v>
      </c>
      <c r="E22" s="16">
        <v>45534</v>
      </c>
      <c r="F22" s="15">
        <v>80</v>
      </c>
      <c r="G22" s="15" t="s">
        <v>3</v>
      </c>
      <c r="H22" s="15">
        <v>3</v>
      </c>
      <c r="I22" s="15">
        <v>8</v>
      </c>
      <c r="J22" s="18">
        <v>40</v>
      </c>
      <c r="K22" s="18">
        <v>80</v>
      </c>
      <c r="L22" s="18">
        <v>95</v>
      </c>
      <c r="M22" s="18">
        <v>45</v>
      </c>
      <c r="N22" s="18">
        <f t="shared" si="2"/>
        <v>62.5</v>
      </c>
      <c r="O22" s="18">
        <v>75</v>
      </c>
    </row>
    <row r="23" spans="1:15" x14ac:dyDescent="0.2">
      <c r="A23" s="15" t="s">
        <v>162</v>
      </c>
      <c r="B23" s="15" t="str">
        <f t="shared" si="0"/>
        <v>Carrot</v>
      </c>
      <c r="C23" s="15" t="s">
        <v>15</v>
      </c>
      <c r="D23" s="16">
        <v>45345</v>
      </c>
      <c r="E23" s="16">
        <v>45534</v>
      </c>
      <c r="F23" s="15">
        <v>65</v>
      </c>
      <c r="G23" s="15" t="s">
        <v>3</v>
      </c>
      <c r="H23" s="15">
        <v>3</v>
      </c>
      <c r="I23" s="15">
        <v>8</v>
      </c>
      <c r="J23" s="18">
        <v>40</v>
      </c>
      <c r="K23" s="18">
        <v>80</v>
      </c>
      <c r="L23" s="18">
        <v>95</v>
      </c>
      <c r="M23" s="18">
        <v>45</v>
      </c>
      <c r="N23" s="18">
        <f t="shared" si="2"/>
        <v>62.5</v>
      </c>
      <c r="O23" s="18">
        <v>75</v>
      </c>
    </row>
    <row r="24" spans="1:15" x14ac:dyDescent="0.2">
      <c r="A24" s="19" t="s">
        <v>149</v>
      </c>
      <c r="B24" s="19" t="str">
        <f t="shared" si="0"/>
        <v>Carrot</v>
      </c>
      <c r="C24" s="19" t="s">
        <v>15</v>
      </c>
      <c r="D24" s="20">
        <v>45345</v>
      </c>
      <c r="E24" s="20">
        <v>45534</v>
      </c>
      <c r="F24" s="19">
        <v>70</v>
      </c>
      <c r="G24" s="19" t="s">
        <v>3</v>
      </c>
      <c r="H24" s="19">
        <v>3</v>
      </c>
      <c r="I24" s="19">
        <v>8</v>
      </c>
      <c r="J24" s="18">
        <v>40</v>
      </c>
      <c r="K24" s="18">
        <v>80</v>
      </c>
      <c r="L24" s="18">
        <v>95</v>
      </c>
      <c r="M24" s="18">
        <v>45</v>
      </c>
      <c r="N24" s="18">
        <f t="shared" si="2"/>
        <v>62.5</v>
      </c>
      <c r="O24" s="18">
        <v>75</v>
      </c>
    </row>
    <row r="25" spans="1:15" x14ac:dyDescent="0.2">
      <c r="A25" s="15" t="s">
        <v>161</v>
      </c>
      <c r="B25" s="15" t="str">
        <f t="shared" si="0"/>
        <v>Carrot</v>
      </c>
      <c r="C25" s="15" t="s">
        <v>15</v>
      </c>
      <c r="D25" s="16">
        <v>45345</v>
      </c>
      <c r="E25" s="16">
        <v>45534</v>
      </c>
      <c r="F25" s="15">
        <v>75</v>
      </c>
      <c r="G25" s="15" t="s">
        <v>3</v>
      </c>
      <c r="H25" s="15">
        <v>3</v>
      </c>
      <c r="I25" s="15">
        <v>20</v>
      </c>
      <c r="J25" s="18">
        <v>40</v>
      </c>
      <c r="K25" s="18">
        <v>80</v>
      </c>
      <c r="L25" s="18">
        <v>95</v>
      </c>
      <c r="M25" s="18">
        <v>45</v>
      </c>
      <c r="N25" s="18">
        <f t="shared" si="2"/>
        <v>62.5</v>
      </c>
      <c r="O25" s="18">
        <v>75</v>
      </c>
    </row>
    <row r="26" spans="1:15" x14ac:dyDescent="0.2">
      <c r="A26" s="15" t="s">
        <v>164</v>
      </c>
      <c r="B26" s="15" t="str">
        <f t="shared" si="0"/>
        <v>Carrot</v>
      </c>
      <c r="C26" s="15" t="s">
        <v>15</v>
      </c>
      <c r="D26" s="16">
        <v>45345</v>
      </c>
      <c r="E26" s="16">
        <v>45534</v>
      </c>
      <c r="F26" s="15">
        <v>65</v>
      </c>
      <c r="G26" s="15" t="s">
        <v>3</v>
      </c>
      <c r="H26" s="15">
        <v>4</v>
      </c>
      <c r="I26" s="15">
        <v>8</v>
      </c>
      <c r="J26" s="18">
        <v>40</v>
      </c>
      <c r="K26" s="18">
        <v>80</v>
      </c>
      <c r="L26" s="18">
        <v>95</v>
      </c>
      <c r="M26" s="18">
        <v>45</v>
      </c>
      <c r="N26" s="18">
        <f t="shared" si="2"/>
        <v>62.5</v>
      </c>
      <c r="O26" s="18">
        <v>75</v>
      </c>
    </row>
    <row r="27" spans="1:15" x14ac:dyDescent="0.2">
      <c r="A27" s="15" t="s">
        <v>151</v>
      </c>
      <c r="B27" s="15" t="str">
        <f t="shared" si="0"/>
        <v>Carrot</v>
      </c>
      <c r="C27" s="15" t="s">
        <v>15</v>
      </c>
      <c r="D27" s="16">
        <v>45345</v>
      </c>
      <c r="E27" s="16">
        <v>45534</v>
      </c>
      <c r="F27" s="15">
        <v>68</v>
      </c>
      <c r="G27" s="15" t="s">
        <v>3</v>
      </c>
      <c r="H27" s="15">
        <v>3</v>
      </c>
      <c r="I27" s="15">
        <v>8</v>
      </c>
      <c r="J27" s="18">
        <v>40</v>
      </c>
      <c r="K27" s="18">
        <v>80</v>
      </c>
      <c r="L27" s="18">
        <v>95</v>
      </c>
      <c r="M27" s="18">
        <v>45</v>
      </c>
      <c r="N27" s="18">
        <f t="shared" si="2"/>
        <v>62.5</v>
      </c>
      <c r="O27" s="18">
        <v>75</v>
      </c>
    </row>
    <row r="28" spans="1:15" x14ac:dyDescent="0.2">
      <c r="A28" s="15" t="s">
        <v>155</v>
      </c>
      <c r="B28" s="15" t="str">
        <f t="shared" si="0"/>
        <v>Carrot</v>
      </c>
      <c r="C28" s="15" t="s">
        <v>15</v>
      </c>
      <c r="D28" s="16">
        <v>45345</v>
      </c>
      <c r="E28" s="16">
        <v>45534</v>
      </c>
      <c r="F28" s="15">
        <v>68</v>
      </c>
      <c r="G28" s="15" t="s">
        <v>3</v>
      </c>
      <c r="H28" s="15">
        <v>3</v>
      </c>
      <c r="I28" s="15">
        <v>8</v>
      </c>
      <c r="J28" s="18">
        <v>40</v>
      </c>
      <c r="K28" s="18">
        <v>80</v>
      </c>
      <c r="L28" s="18">
        <v>95</v>
      </c>
      <c r="M28" s="18">
        <v>45</v>
      </c>
      <c r="N28" s="18">
        <f t="shared" si="2"/>
        <v>62.5</v>
      </c>
      <c r="O28" s="18">
        <v>75</v>
      </c>
    </row>
    <row r="29" spans="1:15" x14ac:dyDescent="0.2">
      <c r="A29" s="15" t="s">
        <v>150</v>
      </c>
      <c r="B29" s="15" t="str">
        <f t="shared" si="0"/>
        <v>Carrot</v>
      </c>
      <c r="C29" s="15" t="s">
        <v>15</v>
      </c>
      <c r="D29" s="16">
        <v>45345</v>
      </c>
      <c r="E29" s="16">
        <v>45534</v>
      </c>
      <c r="F29" s="15">
        <v>65</v>
      </c>
      <c r="G29" s="15" t="s">
        <v>3</v>
      </c>
      <c r="H29" s="15">
        <v>3</v>
      </c>
      <c r="I29" s="15">
        <v>8</v>
      </c>
      <c r="J29" s="18">
        <v>40</v>
      </c>
      <c r="K29" s="18">
        <v>80</v>
      </c>
      <c r="L29" s="18">
        <v>95</v>
      </c>
      <c r="M29" s="18">
        <v>45</v>
      </c>
      <c r="N29" s="18">
        <f t="shared" si="2"/>
        <v>62.5</v>
      </c>
      <c r="O29" s="18">
        <v>75</v>
      </c>
    </row>
    <row r="30" spans="1:15" x14ac:dyDescent="0.2">
      <c r="A30" s="15" t="s">
        <v>152</v>
      </c>
      <c r="B30" s="15" t="str">
        <f t="shared" si="0"/>
        <v>Carrot</v>
      </c>
      <c r="C30" s="15" t="s">
        <v>15</v>
      </c>
      <c r="D30" s="16">
        <v>45345</v>
      </c>
      <c r="E30" s="16">
        <v>45534</v>
      </c>
      <c r="F30" s="15">
        <v>60</v>
      </c>
      <c r="G30" s="15" t="s">
        <v>3</v>
      </c>
      <c r="H30" s="15">
        <v>3</v>
      </c>
      <c r="I30" s="15">
        <v>8</v>
      </c>
      <c r="J30" s="18">
        <v>40</v>
      </c>
      <c r="K30" s="18">
        <v>80</v>
      </c>
      <c r="L30" s="18">
        <v>95</v>
      </c>
      <c r="M30" s="18">
        <v>45</v>
      </c>
      <c r="N30" s="18">
        <f t="shared" si="2"/>
        <v>62.5</v>
      </c>
      <c r="O30" s="18">
        <v>75</v>
      </c>
    </row>
    <row r="31" spans="1:15" x14ac:dyDescent="0.2">
      <c r="A31" t="s">
        <v>37</v>
      </c>
      <c r="B31" t="str">
        <f t="shared" si="0"/>
        <v>Cauliflower</v>
      </c>
      <c r="C31" t="s">
        <v>15</v>
      </c>
      <c r="D31" s="4" t="s">
        <v>41</v>
      </c>
      <c r="E31" s="4" t="s">
        <v>41</v>
      </c>
      <c r="F31">
        <v>100</v>
      </c>
      <c r="G31" t="s">
        <v>3</v>
      </c>
      <c r="H31">
        <v>30</v>
      </c>
      <c r="I31">
        <v>20</v>
      </c>
      <c r="J31" s="12">
        <v>40</v>
      </c>
      <c r="K31" s="12">
        <v>80</v>
      </c>
      <c r="L31" s="12">
        <v>100</v>
      </c>
      <c r="M31" s="12">
        <v>45</v>
      </c>
      <c r="N31" s="12">
        <f t="shared" si="2"/>
        <v>62.5</v>
      </c>
      <c r="O31" s="12">
        <v>75</v>
      </c>
    </row>
    <row r="32" spans="1:15" x14ac:dyDescent="0.2">
      <c r="A32" t="s">
        <v>40</v>
      </c>
      <c r="B32" t="str">
        <f t="shared" si="0"/>
        <v>Cauliflower</v>
      </c>
      <c r="C32" t="s">
        <v>15</v>
      </c>
      <c r="D32" s="4" t="s">
        <v>41</v>
      </c>
      <c r="E32" s="4" t="s">
        <v>41</v>
      </c>
      <c r="F32">
        <v>52</v>
      </c>
      <c r="G32" t="s">
        <v>3</v>
      </c>
      <c r="H32">
        <v>12</v>
      </c>
      <c r="I32">
        <v>30</v>
      </c>
      <c r="J32" s="12">
        <v>40</v>
      </c>
      <c r="K32" s="12">
        <v>80</v>
      </c>
      <c r="L32" s="12">
        <v>100</v>
      </c>
      <c r="M32" s="12">
        <v>45</v>
      </c>
      <c r="N32" s="12">
        <f t="shared" si="2"/>
        <v>62.5</v>
      </c>
      <c r="O32" s="12">
        <v>75</v>
      </c>
    </row>
    <row r="33" spans="1:15" x14ac:dyDescent="0.2">
      <c r="A33" t="s">
        <v>33</v>
      </c>
      <c r="B33" t="str">
        <f t="shared" si="0"/>
        <v>Cauliflower</v>
      </c>
      <c r="C33" t="s">
        <v>15</v>
      </c>
      <c r="D33" s="4" t="s">
        <v>41</v>
      </c>
      <c r="E33" s="4" t="s">
        <v>41</v>
      </c>
      <c r="F33">
        <v>75</v>
      </c>
      <c r="G33" t="s">
        <v>3</v>
      </c>
      <c r="H33">
        <v>12</v>
      </c>
      <c r="I33">
        <v>30</v>
      </c>
      <c r="J33" s="12">
        <v>40</v>
      </c>
      <c r="K33" s="12">
        <v>80</v>
      </c>
      <c r="L33" s="12">
        <v>100</v>
      </c>
      <c r="M33" s="12">
        <v>45</v>
      </c>
      <c r="N33" s="12">
        <f t="shared" si="2"/>
        <v>62.5</v>
      </c>
      <c r="O33" s="12">
        <v>75</v>
      </c>
    </row>
    <row r="34" spans="1:15" x14ac:dyDescent="0.2">
      <c r="A34" t="s">
        <v>24</v>
      </c>
      <c r="B34" t="str">
        <f t="shared" si="0"/>
        <v>Cauliflower</v>
      </c>
      <c r="C34" t="s">
        <v>15</v>
      </c>
      <c r="D34" s="4" t="s">
        <v>41</v>
      </c>
      <c r="E34" s="4" t="s">
        <v>41</v>
      </c>
      <c r="F34">
        <v>75</v>
      </c>
      <c r="G34" t="s">
        <v>3</v>
      </c>
      <c r="H34">
        <v>24</v>
      </c>
      <c r="I34">
        <v>18</v>
      </c>
      <c r="J34" s="12">
        <v>40</v>
      </c>
      <c r="K34" s="12">
        <v>80</v>
      </c>
      <c r="L34" s="12">
        <v>100</v>
      </c>
      <c r="M34" s="12">
        <v>45</v>
      </c>
      <c r="N34" s="12">
        <f t="shared" si="2"/>
        <v>62.5</v>
      </c>
      <c r="O34" s="12">
        <v>75</v>
      </c>
    </row>
    <row r="35" spans="1:15" x14ac:dyDescent="0.2">
      <c r="A35" t="s">
        <v>176</v>
      </c>
      <c r="B35" t="str">
        <f t="shared" si="0"/>
        <v>Celeriac</v>
      </c>
      <c r="M35" s="12">
        <v>45</v>
      </c>
      <c r="N35" s="12">
        <f>65-((65-60)/2)</f>
        <v>62.5</v>
      </c>
      <c r="O35" s="12">
        <v>75</v>
      </c>
    </row>
    <row r="36" spans="1:15" x14ac:dyDescent="0.2">
      <c r="A36" t="s">
        <v>177</v>
      </c>
      <c r="B36" t="str">
        <f t="shared" ref="B36:B68" si="3">MID(A36,1,FIND(",",A36,1)-1)</f>
        <v>Celery</v>
      </c>
      <c r="C36" t="s">
        <v>41</v>
      </c>
      <c r="J36" s="12">
        <v>40</v>
      </c>
      <c r="K36" s="12">
        <v>70</v>
      </c>
      <c r="L36" s="12">
        <v>85</v>
      </c>
      <c r="M36" s="12">
        <v>45</v>
      </c>
      <c r="N36" s="12">
        <f>65-((65-60)/2)</f>
        <v>62.5</v>
      </c>
      <c r="O36" s="12">
        <v>75</v>
      </c>
    </row>
    <row r="37" spans="1:15" x14ac:dyDescent="0.2">
      <c r="A37" s="2" t="s">
        <v>157</v>
      </c>
      <c r="B37" s="2" t="str">
        <f t="shared" si="3"/>
        <v>Chard</v>
      </c>
      <c r="C37" s="2" t="s">
        <v>192</v>
      </c>
      <c r="D37" s="5" t="s">
        <v>192</v>
      </c>
      <c r="E37" s="5" t="s">
        <v>192</v>
      </c>
      <c r="F37" s="2">
        <v>60</v>
      </c>
      <c r="G37" s="2" t="s">
        <v>3</v>
      </c>
      <c r="H37" s="2">
        <v>8</v>
      </c>
      <c r="I37" s="2">
        <v>16</v>
      </c>
      <c r="J37" s="12">
        <v>40</v>
      </c>
      <c r="K37" s="12">
        <v>85</v>
      </c>
      <c r="L37" s="12">
        <v>95</v>
      </c>
      <c r="M37" s="12">
        <v>40</v>
      </c>
      <c r="N37" s="12">
        <f>65-((65-60)/2)</f>
        <v>62.5</v>
      </c>
      <c r="O37" s="12">
        <v>75</v>
      </c>
    </row>
    <row r="38" spans="1:15" x14ac:dyDescent="0.2">
      <c r="A38" s="17" t="s">
        <v>23</v>
      </c>
      <c r="B38" s="15" t="str">
        <f t="shared" si="3"/>
        <v>Chinese Cabbage</v>
      </c>
      <c r="C38" s="15" t="s">
        <v>15</v>
      </c>
      <c r="D38" s="16">
        <v>45345</v>
      </c>
      <c r="E38" s="16">
        <v>45548</v>
      </c>
      <c r="F38" s="15">
        <v>55</v>
      </c>
      <c r="G38" s="15" t="s">
        <v>3</v>
      </c>
      <c r="H38" s="15">
        <v>12</v>
      </c>
      <c r="I38" s="15">
        <v>20</v>
      </c>
      <c r="J38" s="18">
        <v>40</v>
      </c>
      <c r="K38" s="18">
        <v>85</v>
      </c>
      <c r="L38" s="18">
        <v>100</v>
      </c>
      <c r="M38" s="18">
        <v>45</v>
      </c>
      <c r="N38" s="18">
        <f>60+((65-60)/2)</f>
        <v>62.5</v>
      </c>
      <c r="O38" s="18">
        <v>75</v>
      </c>
    </row>
    <row r="39" spans="1:15" x14ac:dyDescent="0.2">
      <c r="A39" s="10" t="s">
        <v>168</v>
      </c>
      <c r="B39" t="str">
        <f t="shared" si="3"/>
        <v>Chives</v>
      </c>
      <c r="C39" t="s">
        <v>10</v>
      </c>
      <c r="D39" s="4">
        <v>45296</v>
      </c>
      <c r="F39">
        <v>120</v>
      </c>
      <c r="G39" t="s">
        <v>3</v>
      </c>
      <c r="H39">
        <v>10</v>
      </c>
      <c r="I39">
        <v>18</v>
      </c>
      <c r="M39" s="12">
        <v>45</v>
      </c>
      <c r="N39" s="12">
        <f>55+((75-55)/2)</f>
        <v>65</v>
      </c>
      <c r="O39" s="12">
        <v>85</v>
      </c>
    </row>
    <row r="40" spans="1:15" x14ac:dyDescent="0.2">
      <c r="A40" s="8" t="s">
        <v>167</v>
      </c>
      <c r="B40" t="str">
        <f t="shared" si="3"/>
        <v>Chives</v>
      </c>
      <c r="C40" t="s">
        <v>10</v>
      </c>
      <c r="D40" s="4">
        <v>45296</v>
      </c>
      <c r="F40">
        <v>90</v>
      </c>
      <c r="G40" t="s">
        <v>3</v>
      </c>
      <c r="H40">
        <v>4</v>
      </c>
      <c r="I40">
        <v>18</v>
      </c>
      <c r="M40" s="12">
        <v>45</v>
      </c>
      <c r="N40" s="12">
        <f t="shared" ref="N40:N42" si="4">55+((75-55)/2)</f>
        <v>65</v>
      </c>
      <c r="O40" s="12">
        <v>85</v>
      </c>
    </row>
    <row r="41" spans="1:15" x14ac:dyDescent="0.2">
      <c r="A41" s="10" t="s">
        <v>169</v>
      </c>
      <c r="B41" t="str">
        <f t="shared" si="3"/>
        <v>Chives</v>
      </c>
      <c r="C41" t="s">
        <v>10</v>
      </c>
      <c r="D41" s="4">
        <v>45296</v>
      </c>
      <c r="F41">
        <v>90</v>
      </c>
      <c r="G41" t="s">
        <v>3</v>
      </c>
      <c r="H41">
        <v>4</v>
      </c>
      <c r="I41">
        <v>24</v>
      </c>
      <c r="M41" s="12">
        <v>45</v>
      </c>
      <c r="N41" s="12">
        <f t="shared" si="4"/>
        <v>65</v>
      </c>
      <c r="O41" s="12">
        <v>85</v>
      </c>
    </row>
    <row r="42" spans="1:15" x14ac:dyDescent="0.2">
      <c r="A42" s="10" t="s">
        <v>170</v>
      </c>
      <c r="B42" t="str">
        <f t="shared" si="3"/>
        <v>Chives</v>
      </c>
      <c r="C42" t="s">
        <v>10</v>
      </c>
      <c r="D42" s="4">
        <v>45296</v>
      </c>
      <c r="F42">
        <v>90</v>
      </c>
      <c r="G42" t="s">
        <v>3</v>
      </c>
      <c r="H42">
        <v>8</v>
      </c>
      <c r="I42">
        <v>15</v>
      </c>
      <c r="M42" s="12">
        <v>45</v>
      </c>
      <c r="N42" s="12">
        <f t="shared" si="4"/>
        <v>65</v>
      </c>
      <c r="O42" s="12">
        <v>85</v>
      </c>
    </row>
    <row r="43" spans="1:15" x14ac:dyDescent="0.2">
      <c r="A43" s="8" t="s">
        <v>180</v>
      </c>
      <c r="B43" t="str">
        <f t="shared" si="3"/>
        <v>Cilantro</v>
      </c>
      <c r="C43" t="s">
        <v>10</v>
      </c>
      <c r="D43" s="4">
        <v>45373</v>
      </c>
    </row>
    <row r="44" spans="1:15" x14ac:dyDescent="0.2">
      <c r="A44" t="s">
        <v>19</v>
      </c>
      <c r="B44" t="str">
        <f t="shared" si="3"/>
        <v>Collard Green</v>
      </c>
      <c r="C44" t="s">
        <v>10</v>
      </c>
      <c r="D44" s="4">
        <v>45359</v>
      </c>
      <c r="F44">
        <v>75</v>
      </c>
      <c r="G44" t="s">
        <v>20</v>
      </c>
      <c r="H44">
        <v>22</v>
      </c>
      <c r="I44">
        <v>20</v>
      </c>
      <c r="J44" s="6">
        <v>40</v>
      </c>
      <c r="K44" s="6">
        <v>60</v>
      </c>
      <c r="L44" s="6"/>
      <c r="M44">
        <v>40</v>
      </c>
      <c r="N44">
        <f>65-((65-60)/2)</f>
        <v>62.5</v>
      </c>
      <c r="O44">
        <v>75</v>
      </c>
    </row>
    <row r="45" spans="1:15" x14ac:dyDescent="0.2">
      <c r="A45" s="15" t="s">
        <v>49</v>
      </c>
      <c r="B45" s="15" t="str">
        <f t="shared" si="3"/>
        <v>Corn Salad (Mache)</v>
      </c>
      <c r="C45" s="15" t="s">
        <v>15</v>
      </c>
      <c r="D45" s="16">
        <v>45338</v>
      </c>
      <c r="E45" s="16">
        <v>45555</v>
      </c>
      <c r="F45" s="15"/>
      <c r="G45" s="15" t="s">
        <v>3</v>
      </c>
      <c r="H45" s="15">
        <v>2</v>
      </c>
      <c r="I45" s="15">
        <v>6</v>
      </c>
      <c r="J45" s="18"/>
      <c r="K45" s="18"/>
      <c r="L45" s="18"/>
      <c r="M45" s="15"/>
      <c r="N45" s="15"/>
      <c r="O45" s="15"/>
    </row>
    <row r="46" spans="1:15" x14ac:dyDescent="0.2">
      <c r="A46" t="s">
        <v>58</v>
      </c>
      <c r="B46" t="str">
        <f t="shared" si="3"/>
        <v>Corn</v>
      </c>
      <c r="C46" t="s">
        <v>10</v>
      </c>
      <c r="D46" s="4">
        <v>45373</v>
      </c>
      <c r="F46">
        <v>63</v>
      </c>
      <c r="G46" t="s">
        <v>3</v>
      </c>
      <c r="H46">
        <v>12</v>
      </c>
      <c r="I46">
        <v>48</v>
      </c>
      <c r="J46" s="12">
        <v>50</v>
      </c>
      <c r="K46" s="12">
        <v>95</v>
      </c>
      <c r="L46" s="12">
        <v>105</v>
      </c>
      <c r="M46" s="12">
        <v>50</v>
      </c>
      <c r="N46" s="12">
        <f>75-((75-60)/2)</f>
        <v>67.5</v>
      </c>
      <c r="O46" s="12">
        <v>95</v>
      </c>
    </row>
    <row r="47" spans="1:15" x14ac:dyDescent="0.2">
      <c r="A47" t="s">
        <v>175</v>
      </c>
      <c r="B47" t="str">
        <f t="shared" si="3"/>
        <v>Endive</v>
      </c>
    </row>
    <row r="48" spans="1:15" x14ac:dyDescent="0.2">
      <c r="A48" t="s">
        <v>174</v>
      </c>
      <c r="B48" t="str">
        <f t="shared" si="3"/>
        <v>Fennel</v>
      </c>
      <c r="M48" s="12">
        <v>45</v>
      </c>
      <c r="N48" s="12">
        <f>65-((65-60)/2)</f>
        <v>62.5</v>
      </c>
      <c r="O48" s="12">
        <v>75</v>
      </c>
    </row>
    <row r="49" spans="1:15" x14ac:dyDescent="0.2">
      <c r="A49" s="8" t="s">
        <v>172</v>
      </c>
      <c r="B49" t="str">
        <f t="shared" si="3"/>
        <v>Fennel</v>
      </c>
      <c r="C49" t="s">
        <v>10</v>
      </c>
      <c r="M49" s="12">
        <v>45</v>
      </c>
      <c r="N49" s="12">
        <f>65-((65-60)/2)</f>
        <v>62.5</v>
      </c>
      <c r="O49" s="12">
        <v>75</v>
      </c>
    </row>
    <row r="50" spans="1:15" x14ac:dyDescent="0.2">
      <c r="A50" t="s">
        <v>47</v>
      </c>
      <c r="B50" t="str">
        <f t="shared" si="3"/>
        <v>Garlic</v>
      </c>
      <c r="C50" t="s">
        <v>10</v>
      </c>
      <c r="D50" s="4">
        <v>45338</v>
      </c>
      <c r="G50" t="s">
        <v>3</v>
      </c>
      <c r="H50">
        <v>6</v>
      </c>
      <c r="I50">
        <v>24</v>
      </c>
      <c r="M50">
        <v>45</v>
      </c>
      <c r="N50">
        <f>75-((75-55)/2)</f>
        <v>65</v>
      </c>
      <c r="O50">
        <v>85</v>
      </c>
    </row>
    <row r="51" spans="1:15" x14ac:dyDescent="0.2">
      <c r="A51" t="s">
        <v>46</v>
      </c>
      <c r="B51" t="str">
        <f t="shared" si="3"/>
        <v>Garlic</v>
      </c>
      <c r="C51" t="s">
        <v>10</v>
      </c>
      <c r="D51" s="4">
        <v>45338</v>
      </c>
      <c r="G51" t="s">
        <v>3</v>
      </c>
      <c r="H51">
        <v>4</v>
      </c>
      <c r="I51">
        <v>36</v>
      </c>
      <c r="M51">
        <v>46</v>
      </c>
      <c r="N51">
        <f>75-((75-55)/2)</f>
        <v>65</v>
      </c>
      <c r="O51">
        <v>86</v>
      </c>
    </row>
    <row r="52" spans="1:15" x14ac:dyDescent="0.2">
      <c r="A52" t="s">
        <v>48</v>
      </c>
      <c r="B52" t="str">
        <f t="shared" si="3"/>
        <v>Garlic</v>
      </c>
      <c r="C52" t="s">
        <v>10</v>
      </c>
      <c r="D52" s="4">
        <v>45338</v>
      </c>
      <c r="G52" t="s">
        <v>3</v>
      </c>
      <c r="H52">
        <v>4</v>
      </c>
      <c r="I52">
        <v>24</v>
      </c>
      <c r="M52">
        <v>47</v>
      </c>
      <c r="N52">
        <f>75-((75-55)/2)</f>
        <v>65</v>
      </c>
      <c r="O52">
        <v>87</v>
      </c>
    </row>
    <row r="53" spans="1:15" x14ac:dyDescent="0.2">
      <c r="A53" s="17" t="s">
        <v>18</v>
      </c>
      <c r="B53" s="15" t="str">
        <f t="shared" si="3"/>
        <v>Kale</v>
      </c>
      <c r="C53" s="15" t="s">
        <v>15</v>
      </c>
      <c r="D53" s="16">
        <v>45345</v>
      </c>
      <c r="E53" s="16">
        <v>45555</v>
      </c>
      <c r="F53" s="15">
        <v>55</v>
      </c>
      <c r="G53" s="15" t="s">
        <v>3</v>
      </c>
      <c r="H53" s="15">
        <v>12</v>
      </c>
      <c r="I53" s="15">
        <v>16</v>
      </c>
      <c r="J53" s="15">
        <v>40</v>
      </c>
      <c r="K53" s="15">
        <v>60</v>
      </c>
      <c r="L53" s="15"/>
      <c r="M53" s="18">
        <v>40</v>
      </c>
      <c r="N53" s="18">
        <f>65-((65-60)/2)</f>
        <v>62.5</v>
      </c>
      <c r="O53" s="18">
        <v>75</v>
      </c>
    </row>
    <row r="54" spans="1:15" x14ac:dyDescent="0.2">
      <c r="A54" t="s">
        <v>195</v>
      </c>
      <c r="B54" t="str">
        <f t="shared" si="3"/>
        <v>Kohlrabi</v>
      </c>
      <c r="C54" t="s">
        <v>10</v>
      </c>
      <c r="D54" s="4">
        <v>45710</v>
      </c>
      <c r="F54">
        <v>45</v>
      </c>
      <c r="G54" t="s">
        <v>3</v>
      </c>
      <c r="H54">
        <v>18</v>
      </c>
      <c r="I54">
        <v>18</v>
      </c>
    </row>
    <row r="55" spans="1:15" x14ac:dyDescent="0.2">
      <c r="A55" t="s">
        <v>178</v>
      </c>
      <c r="B55" t="str">
        <f t="shared" si="3"/>
        <v>Leeks</v>
      </c>
      <c r="C55" t="s">
        <v>41</v>
      </c>
    </row>
    <row r="56" spans="1:15" x14ac:dyDescent="0.2">
      <c r="A56" s="15" t="s">
        <v>194</v>
      </c>
      <c r="B56" s="15" t="str">
        <f t="shared" si="3"/>
        <v>Lettuce</v>
      </c>
      <c r="C56" s="15" t="s">
        <v>15</v>
      </c>
      <c r="D56" s="16">
        <v>45710</v>
      </c>
      <c r="E56" s="16">
        <v>45920</v>
      </c>
      <c r="F56" s="15">
        <v>75</v>
      </c>
      <c r="G56" s="15" t="s">
        <v>20</v>
      </c>
      <c r="H56" s="15">
        <v>6</v>
      </c>
      <c r="I56" s="15">
        <v>15</v>
      </c>
      <c r="J56" s="15"/>
      <c r="K56" s="15"/>
      <c r="L56" s="15"/>
      <c r="M56" s="15"/>
      <c r="N56" s="15"/>
      <c r="O56" s="15"/>
    </row>
    <row r="57" spans="1:15" x14ac:dyDescent="0.2">
      <c r="A57" s="19" t="s">
        <v>156</v>
      </c>
      <c r="B57" s="19" t="str">
        <f t="shared" si="3"/>
        <v>Lettuce</v>
      </c>
      <c r="C57" s="19" t="s">
        <v>15</v>
      </c>
      <c r="D57" s="20">
        <v>45710</v>
      </c>
      <c r="E57" s="20">
        <v>45920</v>
      </c>
      <c r="F57" s="19">
        <v>65</v>
      </c>
      <c r="G57" s="19" t="s">
        <v>20</v>
      </c>
      <c r="H57" s="19">
        <v>6</v>
      </c>
      <c r="I57" s="19">
        <v>15</v>
      </c>
      <c r="J57" s="18">
        <v>35</v>
      </c>
      <c r="K57" s="18">
        <v>75</v>
      </c>
      <c r="L57" s="18">
        <v>85</v>
      </c>
      <c r="M57" s="18">
        <v>45</v>
      </c>
      <c r="N57" s="18">
        <f t="shared" ref="N57:N65" si="5">65-((65-60)/2)</f>
        <v>62.5</v>
      </c>
      <c r="O57" s="18">
        <v>75</v>
      </c>
    </row>
    <row r="58" spans="1:15" x14ac:dyDescent="0.2">
      <c r="A58" t="s">
        <v>6</v>
      </c>
      <c r="B58" t="str">
        <f t="shared" si="3"/>
        <v>Lettuce</v>
      </c>
      <c r="C58" t="s">
        <v>10</v>
      </c>
      <c r="D58" s="4">
        <v>45345</v>
      </c>
      <c r="F58">
        <v>50</v>
      </c>
      <c r="G58" t="s">
        <v>20</v>
      </c>
      <c r="H58">
        <v>6</v>
      </c>
      <c r="I58">
        <v>15</v>
      </c>
      <c r="J58" s="12">
        <v>35</v>
      </c>
      <c r="K58" s="12">
        <v>75</v>
      </c>
      <c r="L58" s="12">
        <v>85</v>
      </c>
      <c r="M58" s="12">
        <v>45</v>
      </c>
      <c r="N58" s="12">
        <f t="shared" si="5"/>
        <v>62.5</v>
      </c>
      <c r="O58" s="12">
        <v>75</v>
      </c>
    </row>
    <row r="59" spans="1:15" x14ac:dyDescent="0.2">
      <c r="A59" t="s">
        <v>7</v>
      </c>
      <c r="B59" t="str">
        <f t="shared" si="3"/>
        <v>Lettuce</v>
      </c>
      <c r="C59" t="s">
        <v>10</v>
      </c>
      <c r="D59" s="4">
        <v>45345</v>
      </c>
      <c r="F59">
        <v>60</v>
      </c>
      <c r="G59" t="s">
        <v>20</v>
      </c>
      <c r="H59">
        <v>6</v>
      </c>
      <c r="I59">
        <v>15</v>
      </c>
      <c r="J59" s="12">
        <v>35</v>
      </c>
      <c r="K59" s="12">
        <v>75</v>
      </c>
      <c r="L59" s="12">
        <v>85</v>
      </c>
      <c r="M59" s="12">
        <v>45</v>
      </c>
      <c r="N59" s="12">
        <f t="shared" si="5"/>
        <v>62.5</v>
      </c>
      <c r="O59" s="12">
        <v>75</v>
      </c>
    </row>
    <row r="60" spans="1:15" x14ac:dyDescent="0.2">
      <c r="A60" s="15" t="s">
        <v>36</v>
      </c>
      <c r="B60" s="15" t="str">
        <f t="shared" si="3"/>
        <v>Lettuce</v>
      </c>
      <c r="C60" s="15" t="s">
        <v>15</v>
      </c>
      <c r="D60" s="16">
        <v>45345</v>
      </c>
      <c r="E60" s="16">
        <v>45548</v>
      </c>
      <c r="F60" s="15">
        <v>85</v>
      </c>
      <c r="G60" s="15" t="s">
        <v>20</v>
      </c>
      <c r="H60" s="15">
        <v>6</v>
      </c>
      <c r="I60" s="15">
        <v>15</v>
      </c>
      <c r="J60" s="18">
        <v>35</v>
      </c>
      <c r="K60" s="18">
        <v>75</v>
      </c>
      <c r="L60" s="18">
        <v>85</v>
      </c>
      <c r="M60" s="18">
        <v>45</v>
      </c>
      <c r="N60" s="18">
        <f t="shared" si="5"/>
        <v>62.5</v>
      </c>
      <c r="O60" s="18">
        <v>75</v>
      </c>
    </row>
    <row r="61" spans="1:15" x14ac:dyDescent="0.2">
      <c r="A61" s="15" t="s">
        <v>38</v>
      </c>
      <c r="B61" s="15" t="str">
        <f t="shared" si="3"/>
        <v>Lettuce</v>
      </c>
      <c r="C61" s="15" t="s">
        <v>15</v>
      </c>
      <c r="D61" s="16">
        <v>45345</v>
      </c>
      <c r="E61" s="16">
        <v>45555</v>
      </c>
      <c r="F61" s="15">
        <v>70</v>
      </c>
      <c r="G61" s="15" t="s">
        <v>20</v>
      </c>
      <c r="H61" s="15">
        <v>6</v>
      </c>
      <c r="I61" s="15">
        <v>15</v>
      </c>
      <c r="J61" s="18">
        <v>35</v>
      </c>
      <c r="K61" s="18">
        <v>75</v>
      </c>
      <c r="L61" s="18">
        <v>85</v>
      </c>
      <c r="M61" s="18">
        <v>45</v>
      </c>
      <c r="N61" s="18">
        <f t="shared" si="5"/>
        <v>62.5</v>
      </c>
      <c r="O61" s="18">
        <v>75</v>
      </c>
    </row>
    <row r="62" spans="1:15" x14ac:dyDescent="0.2">
      <c r="A62" s="15" t="s">
        <v>34</v>
      </c>
      <c r="B62" s="15" t="str">
        <f t="shared" si="3"/>
        <v>Lettuce</v>
      </c>
      <c r="C62" s="15" t="s">
        <v>15</v>
      </c>
      <c r="D62" s="16">
        <v>45345</v>
      </c>
      <c r="E62" s="16">
        <v>45548</v>
      </c>
      <c r="F62" s="15">
        <v>70</v>
      </c>
      <c r="G62" s="15" t="s">
        <v>20</v>
      </c>
      <c r="H62" s="15">
        <v>6</v>
      </c>
      <c r="I62" s="15">
        <v>15</v>
      </c>
      <c r="J62" s="18">
        <v>35</v>
      </c>
      <c r="K62" s="18">
        <v>75</v>
      </c>
      <c r="L62" s="18">
        <v>85</v>
      </c>
      <c r="M62" s="18">
        <v>45</v>
      </c>
      <c r="N62" s="18">
        <f t="shared" si="5"/>
        <v>62.5</v>
      </c>
      <c r="O62" s="18">
        <v>75</v>
      </c>
    </row>
    <row r="63" spans="1:15" x14ac:dyDescent="0.2">
      <c r="A63" s="15" t="s">
        <v>30</v>
      </c>
      <c r="B63" s="15" t="str">
        <f t="shared" si="3"/>
        <v>Lettuce</v>
      </c>
      <c r="C63" s="15" t="s">
        <v>15</v>
      </c>
      <c r="D63" s="16">
        <v>45345</v>
      </c>
      <c r="E63" s="16">
        <v>45548</v>
      </c>
      <c r="F63" s="15">
        <v>48</v>
      </c>
      <c r="G63" s="15" t="s">
        <v>20</v>
      </c>
      <c r="H63" s="15">
        <v>6</v>
      </c>
      <c r="I63" s="15">
        <v>15</v>
      </c>
      <c r="J63" s="18">
        <v>35</v>
      </c>
      <c r="K63" s="18">
        <v>75</v>
      </c>
      <c r="L63" s="18">
        <v>85</v>
      </c>
      <c r="M63" s="18">
        <v>45</v>
      </c>
      <c r="N63" s="18">
        <f t="shared" si="5"/>
        <v>62.5</v>
      </c>
      <c r="O63" s="18">
        <v>75</v>
      </c>
    </row>
    <row r="64" spans="1:15" x14ac:dyDescent="0.2">
      <c r="A64" s="15" t="s">
        <v>14</v>
      </c>
      <c r="B64" s="15" t="str">
        <f t="shared" si="3"/>
        <v>Lettuce</v>
      </c>
      <c r="C64" s="15" t="s">
        <v>15</v>
      </c>
      <c r="D64" s="16">
        <v>45345</v>
      </c>
      <c r="E64" s="16">
        <v>45555</v>
      </c>
      <c r="F64" s="15">
        <v>45</v>
      </c>
      <c r="G64" s="15" t="s">
        <v>20</v>
      </c>
      <c r="H64" s="15">
        <v>6</v>
      </c>
      <c r="I64" s="15">
        <v>15</v>
      </c>
      <c r="J64" s="18">
        <v>35</v>
      </c>
      <c r="K64" s="18">
        <v>75</v>
      </c>
      <c r="L64" s="18">
        <v>85</v>
      </c>
      <c r="M64" s="18">
        <v>45</v>
      </c>
      <c r="N64" s="18">
        <f t="shared" si="5"/>
        <v>62.5</v>
      </c>
      <c r="O64" s="18">
        <v>75</v>
      </c>
    </row>
    <row r="65" spans="1:15" x14ac:dyDescent="0.2">
      <c r="A65" s="15" t="s">
        <v>35</v>
      </c>
      <c r="B65" s="15" t="str">
        <f t="shared" si="3"/>
        <v>Lettuce</v>
      </c>
      <c r="C65" s="15" t="s">
        <v>15</v>
      </c>
      <c r="D65" s="16">
        <v>45345</v>
      </c>
      <c r="E65" s="16">
        <v>45555</v>
      </c>
      <c r="F65" s="15">
        <v>70</v>
      </c>
      <c r="G65" s="15" t="s">
        <v>20</v>
      </c>
      <c r="H65" s="15">
        <v>6</v>
      </c>
      <c r="I65" s="15">
        <v>15</v>
      </c>
      <c r="J65" s="15">
        <v>35</v>
      </c>
      <c r="K65" s="15">
        <v>75</v>
      </c>
      <c r="L65" s="15"/>
      <c r="M65" s="18">
        <v>45</v>
      </c>
      <c r="N65" s="18">
        <f t="shared" si="5"/>
        <v>62.5</v>
      </c>
      <c r="O65" s="18">
        <v>75</v>
      </c>
    </row>
    <row r="66" spans="1:15" x14ac:dyDescent="0.2">
      <c r="A66" s="15" t="s">
        <v>21</v>
      </c>
      <c r="B66" s="15" t="str">
        <f t="shared" si="3"/>
        <v>Mesclun</v>
      </c>
      <c r="C66" s="15" t="s">
        <v>15</v>
      </c>
      <c r="D66" s="16">
        <v>45338</v>
      </c>
      <c r="E66" s="16">
        <v>45555</v>
      </c>
      <c r="F66" s="15">
        <v>30</v>
      </c>
      <c r="G66" s="15" t="s">
        <v>20</v>
      </c>
      <c r="H66" s="15">
        <v>6</v>
      </c>
      <c r="I66" s="15">
        <v>15</v>
      </c>
      <c r="J66" s="15"/>
      <c r="K66" s="15"/>
      <c r="L66" s="15"/>
      <c r="M66" s="15"/>
      <c r="N66" s="15"/>
      <c r="O66" s="15"/>
    </row>
    <row r="67" spans="1:15" x14ac:dyDescent="0.2">
      <c r="A67" s="15" t="s">
        <v>25</v>
      </c>
      <c r="B67" s="15" t="str">
        <f t="shared" si="3"/>
        <v>Mustard</v>
      </c>
      <c r="C67" s="15" t="s">
        <v>15</v>
      </c>
      <c r="D67" s="16">
        <v>45345</v>
      </c>
      <c r="E67" s="16">
        <v>45555</v>
      </c>
      <c r="F67" s="15">
        <v>40</v>
      </c>
      <c r="G67" s="15" t="s">
        <v>3</v>
      </c>
      <c r="H67" s="15">
        <v>24</v>
      </c>
      <c r="I67" s="15">
        <v>24</v>
      </c>
      <c r="J67" s="15">
        <v>45</v>
      </c>
      <c r="K67" s="15">
        <v>60</v>
      </c>
      <c r="L67" s="15"/>
      <c r="M67" s="18">
        <v>45</v>
      </c>
      <c r="N67" s="18">
        <f>65-((65-60)/2)</f>
        <v>62.5</v>
      </c>
      <c r="O67" s="18">
        <v>75</v>
      </c>
    </row>
    <row r="68" spans="1:15" x14ac:dyDescent="0.2">
      <c r="A68" t="s">
        <v>147</v>
      </c>
      <c r="B68" t="str">
        <f t="shared" si="3"/>
        <v>Onions</v>
      </c>
      <c r="J68" s="12">
        <v>35</v>
      </c>
      <c r="K68" s="12">
        <v>75</v>
      </c>
      <c r="L68" s="12">
        <v>95</v>
      </c>
      <c r="M68" s="12">
        <v>45</v>
      </c>
      <c r="N68" s="12">
        <f t="shared" ref="N68:N69" si="6">55+((75-55)/2)</f>
        <v>65</v>
      </c>
      <c r="O68" s="12">
        <v>85</v>
      </c>
    </row>
    <row r="69" spans="1:15" x14ac:dyDescent="0.2">
      <c r="A69" t="s">
        <v>148</v>
      </c>
      <c r="B69" t="str">
        <f t="shared" ref="B69:B94" si="7">MID(A69,1,FIND(",",A69,1)-1)</f>
        <v>Onions</v>
      </c>
      <c r="J69" s="12">
        <v>35</v>
      </c>
      <c r="K69" s="12">
        <v>75</v>
      </c>
      <c r="L69" s="12">
        <v>95</v>
      </c>
      <c r="M69" s="12">
        <v>45</v>
      </c>
      <c r="N69" s="12">
        <f t="shared" si="6"/>
        <v>65</v>
      </c>
      <c r="O69" s="12">
        <v>85</v>
      </c>
    </row>
    <row r="70" spans="1:15" x14ac:dyDescent="0.2">
      <c r="A70" s="8" t="s">
        <v>171</v>
      </c>
      <c r="B70" t="str">
        <f t="shared" si="7"/>
        <v>Parsley</v>
      </c>
      <c r="D70" s="4">
        <v>45738</v>
      </c>
      <c r="J70" s="12">
        <v>40</v>
      </c>
      <c r="K70" s="12">
        <v>75</v>
      </c>
      <c r="L70" s="12">
        <v>90</v>
      </c>
      <c r="M70" s="12">
        <v>45</v>
      </c>
      <c r="N70" s="12">
        <f>65-((65-60)/2)</f>
        <v>62.5</v>
      </c>
      <c r="O70" s="12">
        <v>75</v>
      </c>
    </row>
    <row r="71" spans="1:15" x14ac:dyDescent="0.2">
      <c r="A71" t="s">
        <v>196</v>
      </c>
      <c r="B71" t="str">
        <f t="shared" si="7"/>
        <v>Parsnips</v>
      </c>
      <c r="C71" t="s">
        <v>192</v>
      </c>
      <c r="F71">
        <v>105</v>
      </c>
      <c r="G71" t="s">
        <v>3</v>
      </c>
      <c r="H71">
        <v>8</v>
      </c>
      <c r="I71">
        <v>15</v>
      </c>
      <c r="J71" s="12">
        <v>35</v>
      </c>
      <c r="K71" s="12">
        <v>65</v>
      </c>
      <c r="L71" s="12">
        <v>85</v>
      </c>
      <c r="M71" s="12">
        <v>40</v>
      </c>
      <c r="N71" s="12">
        <f>65-((65-60)/2)</f>
        <v>62.5</v>
      </c>
      <c r="O71" s="12">
        <v>75</v>
      </c>
    </row>
    <row r="72" spans="1:15" x14ac:dyDescent="0.2">
      <c r="A72" t="s">
        <v>39</v>
      </c>
      <c r="B72" t="str">
        <f t="shared" si="7"/>
        <v>Pea</v>
      </c>
      <c r="C72" t="s">
        <v>10</v>
      </c>
      <c r="D72" s="4">
        <v>45345</v>
      </c>
      <c r="F72">
        <v>60</v>
      </c>
      <c r="G72" t="s">
        <v>3</v>
      </c>
      <c r="H72">
        <v>12</v>
      </c>
      <c r="I72">
        <v>32</v>
      </c>
      <c r="J72" s="12">
        <v>40</v>
      </c>
      <c r="K72" s="12">
        <v>75</v>
      </c>
      <c r="L72" s="12">
        <v>85</v>
      </c>
      <c r="M72" s="12">
        <v>45</v>
      </c>
      <c r="N72" s="12">
        <f t="shared" ref="N72:N74" si="8">65-((65-60)/2)</f>
        <v>62.5</v>
      </c>
      <c r="O72" s="12">
        <v>75</v>
      </c>
    </row>
    <row r="73" spans="1:15" x14ac:dyDescent="0.2">
      <c r="A73" t="s">
        <v>43</v>
      </c>
      <c r="B73" t="str">
        <f t="shared" si="7"/>
        <v>Pea</v>
      </c>
      <c r="C73" t="s">
        <v>10</v>
      </c>
      <c r="D73" s="4">
        <v>45345</v>
      </c>
      <c r="F73">
        <v>61</v>
      </c>
      <c r="G73" t="s">
        <v>3</v>
      </c>
      <c r="H73">
        <v>8</v>
      </c>
      <c r="I73">
        <v>26</v>
      </c>
      <c r="J73" s="12">
        <v>40</v>
      </c>
      <c r="K73" s="12">
        <v>75</v>
      </c>
      <c r="L73" s="12">
        <v>85</v>
      </c>
      <c r="M73" s="12">
        <v>45</v>
      </c>
      <c r="N73" s="12">
        <f t="shared" si="8"/>
        <v>62.5</v>
      </c>
      <c r="O73" s="12">
        <v>75</v>
      </c>
    </row>
    <row r="74" spans="1:15" x14ac:dyDescent="0.2">
      <c r="A74" s="2" t="s">
        <v>160</v>
      </c>
      <c r="B74" s="2" t="str">
        <f t="shared" si="7"/>
        <v>Pea</v>
      </c>
      <c r="C74" s="2" t="s">
        <v>10</v>
      </c>
      <c r="D74" s="5">
        <v>45710</v>
      </c>
      <c r="E74" s="5"/>
      <c r="F74" s="2">
        <v>65</v>
      </c>
      <c r="G74" s="2"/>
      <c r="H74" s="2">
        <v>8</v>
      </c>
      <c r="I74" s="2">
        <v>32</v>
      </c>
      <c r="J74" s="12">
        <v>40</v>
      </c>
      <c r="K74" s="12">
        <v>75</v>
      </c>
      <c r="L74" s="12">
        <v>85</v>
      </c>
      <c r="M74" s="12">
        <v>45</v>
      </c>
      <c r="N74" s="12">
        <f t="shared" si="8"/>
        <v>62.5</v>
      </c>
      <c r="O74" s="12">
        <v>75</v>
      </c>
    </row>
    <row r="75" spans="1:15" x14ac:dyDescent="0.2">
      <c r="A75" s="14" t="s">
        <v>187</v>
      </c>
      <c r="B75" s="14" t="str">
        <f t="shared" si="7"/>
        <v>Pepper</v>
      </c>
      <c r="C75" s="14" t="s">
        <v>183</v>
      </c>
      <c r="D75" s="5"/>
      <c r="E75" s="5"/>
      <c r="F75" s="2"/>
      <c r="G75" s="2"/>
      <c r="H75" s="2"/>
      <c r="I75" s="2"/>
      <c r="J75" s="12">
        <v>60</v>
      </c>
      <c r="K75" s="12">
        <v>85</v>
      </c>
      <c r="L75" s="12">
        <v>95</v>
      </c>
      <c r="M75" s="12">
        <v>65</v>
      </c>
      <c r="N75" s="12">
        <f>70+((85-70)/2)</f>
        <v>77.5</v>
      </c>
      <c r="O75" s="12">
        <v>95</v>
      </c>
    </row>
    <row r="76" spans="1:15" x14ac:dyDescent="0.2">
      <c r="A76" s="14" t="s">
        <v>186</v>
      </c>
      <c r="B76" s="14" t="str">
        <f t="shared" si="7"/>
        <v>Pepper</v>
      </c>
      <c r="C76" s="14" t="s">
        <v>183</v>
      </c>
      <c r="D76" s="5"/>
      <c r="E76" s="5"/>
      <c r="F76" s="2"/>
      <c r="G76" s="2"/>
      <c r="H76" s="2"/>
      <c r="I76" s="2"/>
      <c r="J76" s="12">
        <v>60</v>
      </c>
      <c r="K76" s="12">
        <v>85</v>
      </c>
      <c r="L76" s="12">
        <v>95</v>
      </c>
      <c r="M76" s="12">
        <v>65</v>
      </c>
      <c r="N76" s="12">
        <f>70+((75-70)/2)</f>
        <v>72.5</v>
      </c>
      <c r="O76" s="12">
        <v>80</v>
      </c>
    </row>
    <row r="77" spans="1:15" x14ac:dyDescent="0.2">
      <c r="A77" t="s">
        <v>60</v>
      </c>
      <c r="B77" t="str">
        <f t="shared" si="7"/>
        <v>Potato</v>
      </c>
      <c r="C77" t="s">
        <v>10</v>
      </c>
      <c r="D77" s="4">
        <v>45338</v>
      </c>
      <c r="F77">
        <v>85</v>
      </c>
      <c r="G77" t="s">
        <v>3</v>
      </c>
      <c r="H77">
        <v>12</v>
      </c>
      <c r="I77">
        <v>24</v>
      </c>
      <c r="J77" s="6">
        <v>45</v>
      </c>
      <c r="K77" s="6">
        <v>60</v>
      </c>
      <c r="L77" s="6"/>
      <c r="M77" s="12">
        <v>45</v>
      </c>
      <c r="N77" s="12">
        <f>65-((65-60)/2)</f>
        <v>62.5</v>
      </c>
      <c r="O77" s="12">
        <v>75</v>
      </c>
    </row>
    <row r="78" spans="1:15" x14ac:dyDescent="0.2">
      <c r="A78" s="15" t="s">
        <v>45</v>
      </c>
      <c r="B78" s="15" t="str">
        <f t="shared" si="7"/>
        <v>Radicchio</v>
      </c>
      <c r="C78" s="15" t="s">
        <v>15</v>
      </c>
      <c r="D78" s="16">
        <v>45345</v>
      </c>
      <c r="E78" s="16">
        <v>45555</v>
      </c>
      <c r="F78" s="15">
        <v>90</v>
      </c>
      <c r="G78" s="15" t="s">
        <v>3</v>
      </c>
      <c r="H78" s="15">
        <v>4</v>
      </c>
      <c r="I78" s="15">
        <v>6</v>
      </c>
      <c r="J78" s="15"/>
      <c r="K78" s="15"/>
      <c r="L78" s="15"/>
      <c r="M78" s="15"/>
      <c r="N78" s="15"/>
      <c r="O78" s="15"/>
    </row>
    <row r="79" spans="1:15" x14ac:dyDescent="0.2">
      <c r="A79" t="s">
        <v>29</v>
      </c>
      <c r="B79" t="str">
        <f t="shared" si="7"/>
        <v>Radish</v>
      </c>
      <c r="C79" t="s">
        <v>10</v>
      </c>
      <c r="D79" s="4">
        <v>45345</v>
      </c>
      <c r="F79">
        <v>25</v>
      </c>
      <c r="G79" t="s">
        <v>3</v>
      </c>
      <c r="H79">
        <v>3</v>
      </c>
      <c r="I79">
        <v>6</v>
      </c>
      <c r="J79" s="12">
        <v>40</v>
      </c>
      <c r="K79" s="12">
        <v>85</v>
      </c>
      <c r="L79" s="12">
        <v>95</v>
      </c>
      <c r="M79" s="12">
        <v>40</v>
      </c>
      <c r="N79" s="12">
        <f t="shared" ref="N79:N85" si="9">65-((65-60)/2)</f>
        <v>62.5</v>
      </c>
      <c r="O79" s="12">
        <v>75</v>
      </c>
    </row>
    <row r="80" spans="1:15" x14ac:dyDescent="0.2">
      <c r="A80" t="s">
        <v>26</v>
      </c>
      <c r="B80" t="str">
        <f t="shared" si="7"/>
        <v>Radish</v>
      </c>
      <c r="C80" t="s">
        <v>10</v>
      </c>
      <c r="D80" s="4">
        <v>45345</v>
      </c>
      <c r="F80">
        <v>30</v>
      </c>
      <c r="G80" t="s">
        <v>3</v>
      </c>
      <c r="H80">
        <v>3</v>
      </c>
      <c r="I80">
        <v>6</v>
      </c>
      <c r="J80" s="12">
        <v>40</v>
      </c>
      <c r="K80" s="12">
        <v>85</v>
      </c>
      <c r="L80" s="12">
        <v>95</v>
      </c>
      <c r="M80" s="12">
        <v>40</v>
      </c>
      <c r="N80" s="12">
        <f t="shared" si="9"/>
        <v>62.5</v>
      </c>
      <c r="O80" s="12">
        <v>75</v>
      </c>
    </row>
    <row r="81" spans="1:15" x14ac:dyDescent="0.2">
      <c r="A81" t="s">
        <v>22</v>
      </c>
      <c r="B81" t="str">
        <f t="shared" si="7"/>
        <v>Radish</v>
      </c>
      <c r="C81" t="s">
        <v>10</v>
      </c>
      <c r="D81" s="4">
        <v>45345</v>
      </c>
      <c r="F81">
        <v>23</v>
      </c>
      <c r="G81" t="s">
        <v>3</v>
      </c>
      <c r="H81">
        <v>3</v>
      </c>
      <c r="I81">
        <v>12</v>
      </c>
      <c r="J81" s="12">
        <v>40</v>
      </c>
      <c r="K81" s="12">
        <v>85</v>
      </c>
      <c r="L81" s="12">
        <v>95</v>
      </c>
      <c r="M81" s="12">
        <v>40</v>
      </c>
      <c r="N81" s="12">
        <f t="shared" si="9"/>
        <v>62.5</v>
      </c>
      <c r="O81" s="12">
        <v>75</v>
      </c>
    </row>
    <row r="82" spans="1:15" x14ac:dyDescent="0.2">
      <c r="A82" t="s">
        <v>28</v>
      </c>
      <c r="B82" t="str">
        <f t="shared" si="7"/>
        <v>Radish</v>
      </c>
      <c r="C82" t="s">
        <v>10</v>
      </c>
      <c r="D82" s="4">
        <v>45345</v>
      </c>
      <c r="F82">
        <v>35</v>
      </c>
      <c r="G82" t="s">
        <v>3</v>
      </c>
      <c r="H82">
        <v>3</v>
      </c>
      <c r="I82">
        <v>6</v>
      </c>
      <c r="J82" s="12">
        <v>40</v>
      </c>
      <c r="K82" s="12">
        <v>85</v>
      </c>
      <c r="L82" s="12">
        <v>95</v>
      </c>
      <c r="M82" s="12">
        <v>40</v>
      </c>
      <c r="N82" s="12">
        <f t="shared" si="9"/>
        <v>62.5</v>
      </c>
      <c r="O82" s="12">
        <v>75</v>
      </c>
    </row>
    <row r="83" spans="1:15" x14ac:dyDescent="0.2">
      <c r="A83" t="s">
        <v>198</v>
      </c>
      <c r="B83" t="str">
        <f t="shared" si="7"/>
        <v>Radish</v>
      </c>
      <c r="C83" t="s">
        <v>10</v>
      </c>
      <c r="D83" s="4">
        <v>45710</v>
      </c>
      <c r="F83">
        <v>30</v>
      </c>
      <c r="G83" t="s">
        <v>3</v>
      </c>
      <c r="H83">
        <v>3</v>
      </c>
      <c r="I83">
        <v>6</v>
      </c>
      <c r="J83" s="12"/>
      <c r="K83" s="12"/>
      <c r="L83" s="12"/>
      <c r="M83" s="12"/>
      <c r="N83" s="12"/>
      <c r="O83" s="12"/>
    </row>
    <row r="84" spans="1:15" x14ac:dyDescent="0.2">
      <c r="A84" s="2" t="s">
        <v>13</v>
      </c>
      <c r="B84" s="2" t="str">
        <f t="shared" si="7"/>
        <v>Radish</v>
      </c>
      <c r="C84" s="9" t="s">
        <v>10</v>
      </c>
      <c r="D84" s="5">
        <v>45345</v>
      </c>
      <c r="E84" s="5"/>
      <c r="F84" s="2">
        <v>60</v>
      </c>
      <c r="G84" s="2" t="s">
        <v>20</v>
      </c>
      <c r="H84" s="2">
        <v>3</v>
      </c>
      <c r="I84" s="2">
        <v>6</v>
      </c>
      <c r="J84" s="12">
        <v>40</v>
      </c>
      <c r="K84" s="12">
        <v>85</v>
      </c>
      <c r="L84" s="12">
        <v>95</v>
      </c>
      <c r="M84" s="12">
        <v>40</v>
      </c>
      <c r="N84" s="12">
        <f t="shared" si="9"/>
        <v>62.5</v>
      </c>
      <c r="O84" s="12">
        <v>75</v>
      </c>
    </row>
    <row r="85" spans="1:15" x14ac:dyDescent="0.2">
      <c r="A85" t="s">
        <v>27</v>
      </c>
      <c r="B85" t="str">
        <f t="shared" si="7"/>
        <v>Radish</v>
      </c>
      <c r="C85" t="s">
        <v>10</v>
      </c>
      <c r="D85" s="4">
        <v>45345</v>
      </c>
      <c r="F85">
        <v>35</v>
      </c>
      <c r="G85" t="s">
        <v>3</v>
      </c>
      <c r="H85">
        <v>4</v>
      </c>
      <c r="I85">
        <v>12</v>
      </c>
      <c r="J85" s="12">
        <v>40</v>
      </c>
      <c r="K85" s="12">
        <v>85</v>
      </c>
      <c r="L85" s="12">
        <v>95</v>
      </c>
      <c r="M85" s="12">
        <v>40</v>
      </c>
      <c r="N85" s="12">
        <f t="shared" si="9"/>
        <v>62.5</v>
      </c>
      <c r="O85" s="12">
        <v>75</v>
      </c>
    </row>
    <row r="86" spans="1:15" x14ac:dyDescent="0.2">
      <c r="A86" t="s">
        <v>179</v>
      </c>
      <c r="B86" t="str">
        <f t="shared" si="7"/>
        <v>Rhubarb</v>
      </c>
    </row>
    <row r="87" spans="1:15" x14ac:dyDescent="0.2">
      <c r="A87" s="15" t="s">
        <v>42</v>
      </c>
      <c r="B87" s="15" t="str">
        <f t="shared" si="7"/>
        <v>Rutabaga</v>
      </c>
      <c r="C87" s="15" t="s">
        <v>15</v>
      </c>
      <c r="D87" s="16">
        <v>45338</v>
      </c>
      <c r="E87" s="16">
        <v>45527</v>
      </c>
      <c r="F87" s="15">
        <v>90</v>
      </c>
      <c r="G87" s="15" t="s">
        <v>3</v>
      </c>
      <c r="H87" s="15">
        <v>7</v>
      </c>
      <c r="I87" s="15">
        <v>14</v>
      </c>
      <c r="J87" s="15">
        <v>35</v>
      </c>
      <c r="K87" s="15">
        <v>70</v>
      </c>
      <c r="L87" s="15"/>
      <c r="M87" s="18">
        <v>40</v>
      </c>
      <c r="N87" s="18">
        <f>65-((65-60)/2)</f>
        <v>62.5</v>
      </c>
      <c r="O87" s="18">
        <v>75</v>
      </c>
    </row>
    <row r="88" spans="1:15" x14ac:dyDescent="0.2">
      <c r="A88" t="s">
        <v>55</v>
      </c>
      <c r="B88" t="str">
        <f t="shared" si="7"/>
        <v>Spinach</v>
      </c>
      <c r="C88" t="s">
        <v>10</v>
      </c>
      <c r="D88" s="4">
        <v>45345</v>
      </c>
      <c r="F88">
        <v>70</v>
      </c>
      <c r="G88" t="s">
        <v>20</v>
      </c>
      <c r="H88">
        <v>4</v>
      </c>
      <c r="I88">
        <v>12</v>
      </c>
      <c r="J88" s="12">
        <v>35</v>
      </c>
      <c r="K88" s="12">
        <v>70</v>
      </c>
      <c r="L88" s="12">
        <v>85</v>
      </c>
      <c r="M88" s="12">
        <v>50</v>
      </c>
      <c r="N88" s="12">
        <f>75-((75-60)/2)</f>
        <v>67.5</v>
      </c>
      <c r="O88" s="12">
        <v>95</v>
      </c>
    </row>
    <row r="89" spans="1:15" x14ac:dyDescent="0.2">
      <c r="A89" s="2" t="s">
        <v>158</v>
      </c>
      <c r="B89" s="2" t="str">
        <f t="shared" si="7"/>
        <v>Spinach</v>
      </c>
      <c r="C89" s="2"/>
      <c r="D89" s="5"/>
      <c r="E89" s="5"/>
      <c r="F89" s="2"/>
      <c r="G89" s="2"/>
      <c r="H89" s="2"/>
      <c r="I89" s="2"/>
      <c r="J89" s="12">
        <v>35</v>
      </c>
      <c r="K89" s="12">
        <v>70</v>
      </c>
      <c r="L89" s="12">
        <v>85</v>
      </c>
      <c r="M89" s="12">
        <v>40</v>
      </c>
      <c r="N89" s="12">
        <f t="shared" ref="N89" si="10">65-((65-60)/2)</f>
        <v>62.5</v>
      </c>
      <c r="O89" s="12">
        <v>75</v>
      </c>
    </row>
    <row r="90" spans="1:15" x14ac:dyDescent="0.2">
      <c r="A90" t="s">
        <v>59</v>
      </c>
      <c r="B90" t="str">
        <f t="shared" si="7"/>
        <v>Squash</v>
      </c>
      <c r="C90" t="s">
        <v>10</v>
      </c>
      <c r="D90" s="4">
        <v>45380</v>
      </c>
      <c r="F90">
        <v>105</v>
      </c>
      <c r="G90" t="s">
        <v>3</v>
      </c>
      <c r="H90">
        <f>11*12</f>
        <v>132</v>
      </c>
      <c r="I90">
        <v>30</v>
      </c>
      <c r="J90" s="12">
        <v>60</v>
      </c>
      <c r="K90" s="12">
        <v>95</v>
      </c>
      <c r="L90" s="12">
        <v>100</v>
      </c>
      <c r="M90" s="12">
        <v>50</v>
      </c>
      <c r="N90" s="12">
        <f>75-((75-65)/2)</f>
        <v>70</v>
      </c>
      <c r="O90" s="12">
        <v>90</v>
      </c>
    </row>
    <row r="91" spans="1:15" x14ac:dyDescent="0.2">
      <c r="A91" t="s">
        <v>54</v>
      </c>
      <c r="B91" t="str">
        <f t="shared" si="7"/>
        <v>Squash</v>
      </c>
      <c r="C91" t="s">
        <v>10</v>
      </c>
      <c r="D91" s="4">
        <v>45380</v>
      </c>
      <c r="F91">
        <v>100</v>
      </c>
      <c r="G91" t="s">
        <v>3</v>
      </c>
      <c r="H91">
        <v>60</v>
      </c>
      <c r="I91">
        <v>12</v>
      </c>
      <c r="J91" s="12">
        <v>60</v>
      </c>
      <c r="K91" s="12">
        <v>95</v>
      </c>
      <c r="L91" s="12">
        <v>100</v>
      </c>
      <c r="M91" s="12">
        <v>50</v>
      </c>
      <c r="N91" s="12">
        <f>75-((75-65)/2)</f>
        <v>70</v>
      </c>
      <c r="O91" s="12">
        <v>90</v>
      </c>
    </row>
    <row r="92" spans="1:15" x14ac:dyDescent="0.2">
      <c r="A92" s="7" t="s">
        <v>52</v>
      </c>
      <c r="B92" t="str">
        <f t="shared" si="7"/>
        <v>Tomato</v>
      </c>
      <c r="C92" t="s">
        <v>10</v>
      </c>
      <c r="D92" s="4" t="s">
        <v>41</v>
      </c>
      <c r="F92">
        <v>70</v>
      </c>
      <c r="G92" t="s">
        <v>53</v>
      </c>
      <c r="H92">
        <v>48</v>
      </c>
      <c r="I92">
        <v>48</v>
      </c>
      <c r="J92" s="12">
        <v>50</v>
      </c>
      <c r="K92" s="12">
        <v>85</v>
      </c>
      <c r="L92" s="12">
        <v>95</v>
      </c>
      <c r="M92" s="12">
        <v>50</v>
      </c>
      <c r="N92" s="12">
        <f>75-((75-65)/2)</f>
        <v>70</v>
      </c>
      <c r="O92" s="12">
        <v>90</v>
      </c>
    </row>
    <row r="93" spans="1:15" x14ac:dyDescent="0.2">
      <c r="A93" t="s">
        <v>193</v>
      </c>
      <c r="B93" t="str">
        <f t="shared" si="7"/>
        <v>Turnips</v>
      </c>
      <c r="C93" t="s">
        <v>192</v>
      </c>
      <c r="D93" s="4" t="s">
        <v>192</v>
      </c>
      <c r="E93" s="4" t="s">
        <v>192</v>
      </c>
      <c r="F93">
        <v>55</v>
      </c>
      <c r="G93" t="s">
        <v>3</v>
      </c>
      <c r="H93">
        <v>15</v>
      </c>
      <c r="I93">
        <v>15</v>
      </c>
      <c r="J93" s="12">
        <v>40</v>
      </c>
      <c r="K93" s="12">
        <v>85</v>
      </c>
      <c r="L93" s="12">
        <v>105</v>
      </c>
      <c r="M93" s="12">
        <v>40</v>
      </c>
      <c r="N93" s="12">
        <f>65-((65-60)/2)</f>
        <v>62.5</v>
      </c>
      <c r="O93" s="12">
        <v>75</v>
      </c>
    </row>
    <row r="94" spans="1:15" x14ac:dyDescent="0.2">
      <c r="A94" s="8" t="s">
        <v>173</v>
      </c>
      <c r="B94" t="str">
        <f t="shared" si="7"/>
        <v>Zuchinni</v>
      </c>
      <c r="C94" t="s">
        <v>10</v>
      </c>
      <c r="D94" s="4">
        <v>45745</v>
      </c>
      <c r="F94">
        <v>40</v>
      </c>
      <c r="H94">
        <v>72</v>
      </c>
      <c r="I94">
        <v>30</v>
      </c>
      <c r="J94" s="12">
        <v>60</v>
      </c>
      <c r="K94" s="12">
        <v>95</v>
      </c>
      <c r="L94" s="12">
        <v>100</v>
      </c>
      <c r="M94" s="12">
        <v>50</v>
      </c>
      <c r="N94" s="12">
        <f>75-((75-65)/2)</f>
        <v>70</v>
      </c>
      <c r="O94" s="12">
        <v>90</v>
      </c>
    </row>
    <row r="97" spans="1:1" ht="32" x14ac:dyDescent="0.4">
      <c r="A97" s="11"/>
    </row>
  </sheetData>
  <sortState xmlns:xlrd2="http://schemas.microsoft.com/office/spreadsheetml/2017/richdata2" ref="A4:O96">
    <sortCondition ref="A4:A96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2DE-74FF-DA4A-A64B-89F0D0270563}">
  <dimension ref="A3:B50"/>
  <sheetViews>
    <sheetView zoomScale="150" zoomScaleNormal="150" workbookViewId="0">
      <selection activeCell="A3" sqref="A3:B50"/>
    </sheetView>
  </sheetViews>
  <sheetFormatPr baseColWidth="10" defaultRowHeight="16" x14ac:dyDescent="0.2"/>
  <sheetData>
    <row r="3" spans="1:2" x14ac:dyDescent="0.2">
      <c r="A3" t="s">
        <v>126</v>
      </c>
      <c r="B3" t="s">
        <v>127</v>
      </c>
    </row>
    <row r="4" spans="1:2" x14ac:dyDescent="0.2">
      <c r="A4" t="s">
        <v>95</v>
      </c>
      <c r="B4" t="s">
        <v>96</v>
      </c>
    </row>
    <row r="5" spans="1:2" x14ac:dyDescent="0.2">
      <c r="A5" t="s">
        <v>83</v>
      </c>
      <c r="B5" t="s">
        <v>96</v>
      </c>
    </row>
    <row r="6" spans="1:2" x14ac:dyDescent="0.2">
      <c r="A6" t="s">
        <v>97</v>
      </c>
      <c r="B6" t="s">
        <v>94</v>
      </c>
    </row>
    <row r="7" spans="1:2" x14ac:dyDescent="0.2">
      <c r="A7" t="s">
        <v>98</v>
      </c>
      <c r="B7" t="s">
        <v>94</v>
      </c>
    </row>
    <row r="8" spans="1:2" x14ac:dyDescent="0.2">
      <c r="A8" t="s">
        <v>79</v>
      </c>
      <c r="B8" t="s">
        <v>96</v>
      </c>
    </row>
    <row r="9" spans="1:2" x14ac:dyDescent="0.2">
      <c r="A9" t="s">
        <v>67</v>
      </c>
      <c r="B9" t="s">
        <v>96</v>
      </c>
    </row>
    <row r="10" spans="1:2" x14ac:dyDescent="0.2">
      <c r="A10" t="s">
        <v>99</v>
      </c>
      <c r="B10" t="s">
        <v>96</v>
      </c>
    </row>
    <row r="11" spans="1:2" x14ac:dyDescent="0.2">
      <c r="A11" t="s">
        <v>68</v>
      </c>
      <c r="B11" t="s">
        <v>96</v>
      </c>
    </row>
    <row r="12" spans="1:2" x14ac:dyDescent="0.2">
      <c r="A12" t="s">
        <v>100</v>
      </c>
      <c r="B12" t="s">
        <v>96</v>
      </c>
    </row>
    <row r="13" spans="1:2" x14ac:dyDescent="0.2">
      <c r="A13" t="s">
        <v>125</v>
      </c>
      <c r="B13" t="s">
        <v>94</v>
      </c>
    </row>
    <row r="14" spans="1:2" x14ac:dyDescent="0.2">
      <c r="A14" t="s">
        <v>70</v>
      </c>
      <c r="B14" t="s">
        <v>96</v>
      </c>
    </row>
    <row r="15" spans="1:2" x14ac:dyDescent="0.2">
      <c r="A15" t="s">
        <v>69</v>
      </c>
      <c r="B15" t="s">
        <v>96</v>
      </c>
    </row>
    <row r="16" spans="1:2" x14ac:dyDescent="0.2">
      <c r="A16" t="s">
        <v>101</v>
      </c>
      <c r="B16" t="s">
        <v>96</v>
      </c>
    </row>
    <row r="17" spans="1:2" x14ac:dyDescent="0.2">
      <c r="A17" t="s">
        <v>102</v>
      </c>
      <c r="B17" t="s">
        <v>96</v>
      </c>
    </row>
    <row r="18" spans="1:2" x14ac:dyDescent="0.2">
      <c r="A18" t="s">
        <v>71</v>
      </c>
      <c r="B18" t="s">
        <v>96</v>
      </c>
    </row>
    <row r="19" spans="1:2" x14ac:dyDescent="0.2">
      <c r="A19" t="s">
        <v>103</v>
      </c>
      <c r="B19" t="s">
        <v>94</v>
      </c>
    </row>
    <row r="20" spans="1:2" x14ac:dyDescent="0.2">
      <c r="A20" t="s">
        <v>104</v>
      </c>
      <c r="B20" t="s">
        <v>96</v>
      </c>
    </row>
    <row r="21" spans="1:2" x14ac:dyDescent="0.2">
      <c r="A21" t="s">
        <v>105</v>
      </c>
      <c r="B21" t="s">
        <v>94</v>
      </c>
    </row>
    <row r="22" spans="1:2" x14ac:dyDescent="0.2">
      <c r="A22" t="s">
        <v>106</v>
      </c>
      <c r="B22" t="s">
        <v>94</v>
      </c>
    </row>
    <row r="23" spans="1:2" x14ac:dyDescent="0.2">
      <c r="A23" t="s">
        <v>107</v>
      </c>
      <c r="B23" t="s">
        <v>94</v>
      </c>
    </row>
    <row r="24" spans="1:2" x14ac:dyDescent="0.2">
      <c r="A24" t="s">
        <v>84</v>
      </c>
      <c r="B24" t="s">
        <v>96</v>
      </c>
    </row>
    <row r="25" spans="1:2" x14ac:dyDescent="0.2">
      <c r="A25" t="s">
        <v>108</v>
      </c>
      <c r="B25" t="s">
        <v>96</v>
      </c>
    </row>
    <row r="26" spans="1:2" x14ac:dyDescent="0.2">
      <c r="A26" t="s">
        <v>72</v>
      </c>
      <c r="B26" t="s">
        <v>96</v>
      </c>
    </row>
    <row r="27" spans="1:2" x14ac:dyDescent="0.2">
      <c r="A27" t="s">
        <v>73</v>
      </c>
      <c r="B27" t="s">
        <v>96</v>
      </c>
    </row>
    <row r="28" spans="1:2" x14ac:dyDescent="0.2">
      <c r="A28" t="s">
        <v>86</v>
      </c>
      <c r="B28" t="s">
        <v>96</v>
      </c>
    </row>
    <row r="29" spans="1:2" x14ac:dyDescent="0.2">
      <c r="A29" t="s">
        <v>109</v>
      </c>
      <c r="B29" t="s">
        <v>96</v>
      </c>
    </row>
    <row r="30" spans="1:2" x14ac:dyDescent="0.2">
      <c r="A30" t="s">
        <v>74</v>
      </c>
      <c r="B30" t="s">
        <v>96</v>
      </c>
    </row>
    <row r="31" spans="1:2" x14ac:dyDescent="0.2">
      <c r="A31" t="s">
        <v>81</v>
      </c>
      <c r="B31" t="s">
        <v>96</v>
      </c>
    </row>
    <row r="32" spans="1:2" x14ac:dyDescent="0.2">
      <c r="A32" t="s">
        <v>110</v>
      </c>
      <c r="B32" t="s">
        <v>94</v>
      </c>
    </row>
    <row r="33" spans="1:2" x14ac:dyDescent="0.2">
      <c r="A33" t="s">
        <v>111</v>
      </c>
      <c r="B33" t="s">
        <v>96</v>
      </c>
    </row>
    <row r="34" spans="1:2" x14ac:dyDescent="0.2">
      <c r="A34" t="s">
        <v>112</v>
      </c>
      <c r="B34" t="s">
        <v>96</v>
      </c>
    </row>
    <row r="35" spans="1:2" x14ac:dyDescent="0.2">
      <c r="A35" t="s">
        <v>113</v>
      </c>
      <c r="B35" t="s">
        <v>96</v>
      </c>
    </row>
    <row r="36" spans="1:2" x14ac:dyDescent="0.2">
      <c r="A36" t="s">
        <v>114</v>
      </c>
      <c r="B36" t="s">
        <v>96</v>
      </c>
    </row>
    <row r="37" spans="1:2" x14ac:dyDescent="0.2">
      <c r="A37" t="s">
        <v>115</v>
      </c>
      <c r="B37" t="s">
        <v>96</v>
      </c>
    </row>
    <row r="38" spans="1:2" x14ac:dyDescent="0.2">
      <c r="A38" t="s">
        <v>116</v>
      </c>
      <c r="B38" t="s">
        <v>94</v>
      </c>
    </row>
    <row r="39" spans="1:2" x14ac:dyDescent="0.2">
      <c r="A39" t="s">
        <v>117</v>
      </c>
      <c r="B39" t="s">
        <v>94</v>
      </c>
    </row>
    <row r="40" spans="1:2" x14ac:dyDescent="0.2">
      <c r="A40" t="s">
        <v>118</v>
      </c>
      <c r="B40" t="s">
        <v>96</v>
      </c>
    </row>
    <row r="41" spans="1:2" x14ac:dyDescent="0.2">
      <c r="A41" t="s">
        <v>119</v>
      </c>
      <c r="B41" t="s">
        <v>94</v>
      </c>
    </row>
    <row r="42" spans="1:2" x14ac:dyDescent="0.2">
      <c r="A42" t="s">
        <v>89</v>
      </c>
      <c r="B42" t="s">
        <v>96</v>
      </c>
    </row>
    <row r="43" spans="1:2" x14ac:dyDescent="0.2">
      <c r="A43" t="s">
        <v>90</v>
      </c>
      <c r="B43" t="s">
        <v>96</v>
      </c>
    </row>
    <row r="44" spans="1:2" x14ac:dyDescent="0.2">
      <c r="A44" t="s">
        <v>120</v>
      </c>
      <c r="B44" t="s">
        <v>96</v>
      </c>
    </row>
    <row r="45" spans="1:2" x14ac:dyDescent="0.2">
      <c r="A45" t="s">
        <v>75</v>
      </c>
      <c r="B45" t="s">
        <v>96</v>
      </c>
    </row>
    <row r="46" spans="1:2" x14ac:dyDescent="0.2">
      <c r="A46" t="s">
        <v>121</v>
      </c>
      <c r="B46" t="s">
        <v>94</v>
      </c>
    </row>
    <row r="47" spans="1:2" x14ac:dyDescent="0.2">
      <c r="A47" t="s">
        <v>122</v>
      </c>
      <c r="B47" t="s">
        <v>94</v>
      </c>
    </row>
    <row r="48" spans="1:2" x14ac:dyDescent="0.2">
      <c r="A48" t="s">
        <v>123</v>
      </c>
      <c r="B48" t="s">
        <v>94</v>
      </c>
    </row>
    <row r="49" spans="1:2" x14ac:dyDescent="0.2">
      <c r="A49" t="s">
        <v>82</v>
      </c>
      <c r="B49" t="s">
        <v>96</v>
      </c>
    </row>
    <row r="50" spans="1:2" x14ac:dyDescent="0.2">
      <c r="A50" t="s">
        <v>124</v>
      </c>
      <c r="B50" t="s">
        <v>94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111C-D724-D242-AAAD-550B25F8D409}">
  <dimension ref="A1:M58"/>
  <sheetViews>
    <sheetView zoomScale="150" zoomScaleNormal="150" workbookViewId="0">
      <selection activeCell="A5" sqref="A5:A38"/>
    </sheetView>
  </sheetViews>
  <sheetFormatPr baseColWidth="10" defaultRowHeight="16" x14ac:dyDescent="0.2"/>
  <sheetData>
    <row r="1" spans="1:13" x14ac:dyDescent="0.2">
      <c r="A1" t="s">
        <v>129</v>
      </c>
    </row>
    <row r="3" spans="1:13" x14ac:dyDescent="0.2">
      <c r="A3" s="2" t="s">
        <v>128</v>
      </c>
      <c r="B3" s="2"/>
      <c r="C3" s="2" t="s">
        <v>88</v>
      </c>
      <c r="D3" s="2"/>
      <c r="E3" s="2" t="s">
        <v>88</v>
      </c>
      <c r="F3" s="2"/>
      <c r="G3" s="2" t="s">
        <v>87</v>
      </c>
      <c r="H3" s="2"/>
      <c r="I3" s="2"/>
      <c r="J3" s="2"/>
      <c r="K3" s="2"/>
      <c r="L3" s="2"/>
      <c r="M3" s="2"/>
    </row>
    <row r="4" spans="1:13" x14ac:dyDescent="0.2">
      <c r="A4" s="2" t="s">
        <v>126</v>
      </c>
      <c r="B4" s="2" t="s">
        <v>127</v>
      </c>
      <c r="C4" s="2" t="s">
        <v>78</v>
      </c>
      <c r="D4" s="2" t="s">
        <v>141</v>
      </c>
      <c r="E4" s="2" t="s">
        <v>77</v>
      </c>
      <c r="F4" s="2" t="s">
        <v>141</v>
      </c>
      <c r="G4" s="2" t="s">
        <v>78</v>
      </c>
      <c r="H4" s="2" t="s">
        <v>140</v>
      </c>
      <c r="I4" s="2" t="s">
        <v>141</v>
      </c>
      <c r="J4" s="2" t="s">
        <v>77</v>
      </c>
      <c r="K4" s="2" t="s">
        <v>140</v>
      </c>
      <c r="L4" s="2" t="s">
        <v>141</v>
      </c>
      <c r="M4" s="2"/>
    </row>
    <row r="5" spans="1:13" x14ac:dyDescent="0.2">
      <c r="A5" t="s">
        <v>95</v>
      </c>
      <c r="B5" t="s">
        <v>96</v>
      </c>
      <c r="C5" s="2"/>
      <c r="D5" t="str">
        <f t="shared" ref="D5:D36" si="0">IF(C5&gt;"",IF(C5=A5,"","X"),"")</f>
        <v/>
      </c>
      <c r="E5" s="2"/>
      <c r="F5" t="str">
        <f t="shared" ref="F5:F36" si="1">IF(E5&gt;"",IF(E5=$A5,"","X"),"")</f>
        <v/>
      </c>
      <c r="I5" t="str">
        <f t="shared" ref="I5:I36" si="2">IF(G5&gt;"",IF(G5=$A5,"","X"),"")</f>
        <v/>
      </c>
      <c r="L5" t="str">
        <f t="shared" ref="L5:L36" si="3">IF(J5&gt;"",IF(J5=$A5,"","X"),"")</f>
        <v/>
      </c>
    </row>
    <row r="6" spans="1:13" x14ac:dyDescent="0.2">
      <c r="A6" s="8" t="s">
        <v>76</v>
      </c>
      <c r="B6" s="8" t="s">
        <v>96</v>
      </c>
      <c r="D6" t="str">
        <f t="shared" si="0"/>
        <v/>
      </c>
      <c r="E6" t="s">
        <v>76</v>
      </c>
      <c r="F6" t="str">
        <f t="shared" si="1"/>
        <v/>
      </c>
      <c r="I6" t="str">
        <f t="shared" si="2"/>
        <v/>
      </c>
      <c r="L6" t="str">
        <f t="shared" si="3"/>
        <v/>
      </c>
    </row>
    <row r="7" spans="1:13" x14ac:dyDescent="0.2">
      <c r="A7" t="s">
        <v>83</v>
      </c>
      <c r="B7" t="s">
        <v>96</v>
      </c>
      <c r="C7" s="2"/>
      <c r="D7" t="str">
        <f t="shared" si="0"/>
        <v/>
      </c>
      <c r="F7" t="str">
        <f t="shared" si="1"/>
        <v/>
      </c>
      <c r="G7" t="s">
        <v>83</v>
      </c>
      <c r="I7" t="str">
        <f t="shared" si="2"/>
        <v/>
      </c>
      <c r="L7" t="str">
        <f t="shared" si="3"/>
        <v/>
      </c>
    </row>
    <row r="8" spans="1:13" x14ac:dyDescent="0.2">
      <c r="A8" t="s">
        <v>79</v>
      </c>
      <c r="B8" t="s">
        <v>96</v>
      </c>
      <c r="C8" t="s">
        <v>79</v>
      </c>
      <c r="D8" t="str">
        <f t="shared" si="0"/>
        <v/>
      </c>
      <c r="F8" t="str">
        <f t="shared" si="1"/>
        <v/>
      </c>
      <c r="G8" t="s">
        <v>137</v>
      </c>
      <c r="H8" t="s">
        <v>93</v>
      </c>
      <c r="I8" t="str">
        <f t="shared" si="2"/>
        <v/>
      </c>
      <c r="L8" t="str">
        <f t="shared" si="3"/>
        <v/>
      </c>
    </row>
    <row r="9" spans="1:13" x14ac:dyDescent="0.2">
      <c r="A9" t="s">
        <v>67</v>
      </c>
      <c r="B9" t="s">
        <v>96</v>
      </c>
      <c r="D9" t="str">
        <f t="shared" si="0"/>
        <v/>
      </c>
      <c r="E9" t="s">
        <v>67</v>
      </c>
      <c r="F9" t="str">
        <f t="shared" si="1"/>
        <v/>
      </c>
      <c r="I9" t="str">
        <f t="shared" si="2"/>
        <v/>
      </c>
      <c r="L9" t="str">
        <f t="shared" si="3"/>
        <v/>
      </c>
    </row>
    <row r="10" spans="1:13" x14ac:dyDescent="0.2">
      <c r="A10" t="s">
        <v>99</v>
      </c>
      <c r="B10" t="s">
        <v>96</v>
      </c>
      <c r="D10" t="str">
        <f t="shared" si="0"/>
        <v/>
      </c>
      <c r="F10" t="str">
        <f t="shared" si="1"/>
        <v/>
      </c>
      <c r="I10" t="str">
        <f t="shared" si="2"/>
        <v/>
      </c>
      <c r="L10" t="str">
        <f t="shared" si="3"/>
        <v/>
      </c>
    </row>
    <row r="11" spans="1:13" x14ac:dyDescent="0.2">
      <c r="A11" t="s">
        <v>68</v>
      </c>
      <c r="B11" t="s">
        <v>96</v>
      </c>
      <c r="D11" t="str">
        <f t="shared" si="0"/>
        <v/>
      </c>
      <c r="E11" t="s">
        <v>68</v>
      </c>
      <c r="F11" t="str">
        <f t="shared" si="1"/>
        <v/>
      </c>
      <c r="G11" t="s">
        <v>68</v>
      </c>
      <c r="I11" t="str">
        <f t="shared" si="2"/>
        <v/>
      </c>
      <c r="L11" t="str">
        <f t="shared" si="3"/>
        <v/>
      </c>
    </row>
    <row r="12" spans="1:13" x14ac:dyDescent="0.2">
      <c r="A12" t="s">
        <v>100</v>
      </c>
      <c r="B12" t="s">
        <v>96</v>
      </c>
      <c r="D12" t="str">
        <f t="shared" si="0"/>
        <v/>
      </c>
      <c r="F12" t="str">
        <f t="shared" si="1"/>
        <v/>
      </c>
      <c r="I12" t="str">
        <f t="shared" si="2"/>
        <v/>
      </c>
      <c r="L12" t="str">
        <f t="shared" si="3"/>
        <v/>
      </c>
    </row>
    <row r="13" spans="1:13" x14ac:dyDescent="0.2">
      <c r="A13" t="s">
        <v>70</v>
      </c>
      <c r="B13" t="s">
        <v>96</v>
      </c>
      <c r="C13" t="s">
        <v>70</v>
      </c>
      <c r="D13" t="str">
        <f t="shared" si="0"/>
        <v/>
      </c>
      <c r="E13" t="s">
        <v>70</v>
      </c>
      <c r="F13" t="str">
        <f t="shared" si="1"/>
        <v/>
      </c>
      <c r="G13" t="s">
        <v>136</v>
      </c>
      <c r="H13" t="s">
        <v>93</v>
      </c>
      <c r="I13" t="str">
        <f t="shared" si="2"/>
        <v/>
      </c>
      <c r="J13" t="s">
        <v>136</v>
      </c>
      <c r="K13" t="s">
        <v>93</v>
      </c>
      <c r="L13" t="str">
        <f t="shared" si="3"/>
        <v/>
      </c>
    </row>
    <row r="14" spans="1:13" x14ac:dyDescent="0.2">
      <c r="A14" t="s">
        <v>69</v>
      </c>
      <c r="B14" t="s">
        <v>96</v>
      </c>
      <c r="D14" t="str">
        <f t="shared" si="0"/>
        <v/>
      </c>
      <c r="E14" t="s">
        <v>69</v>
      </c>
      <c r="F14" t="str">
        <f t="shared" si="1"/>
        <v/>
      </c>
      <c r="G14" t="s">
        <v>69</v>
      </c>
      <c r="I14" t="str">
        <f t="shared" si="2"/>
        <v/>
      </c>
      <c r="L14" t="str">
        <f t="shared" si="3"/>
        <v/>
      </c>
    </row>
    <row r="15" spans="1:13" x14ac:dyDescent="0.2">
      <c r="A15" t="s">
        <v>101</v>
      </c>
      <c r="B15" t="s">
        <v>96</v>
      </c>
      <c r="D15" t="str">
        <f t="shared" si="0"/>
        <v/>
      </c>
      <c r="F15" t="str">
        <f t="shared" si="1"/>
        <v/>
      </c>
      <c r="I15" t="str">
        <f t="shared" si="2"/>
        <v/>
      </c>
      <c r="L15" t="str">
        <f t="shared" si="3"/>
        <v/>
      </c>
    </row>
    <row r="16" spans="1:13" x14ac:dyDescent="0.2">
      <c r="A16" t="s">
        <v>102</v>
      </c>
      <c r="B16" t="s">
        <v>96</v>
      </c>
      <c r="D16" t="str">
        <f t="shared" si="0"/>
        <v/>
      </c>
      <c r="F16" t="str">
        <f t="shared" si="1"/>
        <v/>
      </c>
      <c r="H16" t="s">
        <v>93</v>
      </c>
      <c r="I16" t="str">
        <f t="shared" si="2"/>
        <v/>
      </c>
      <c r="L16" t="str">
        <f t="shared" si="3"/>
        <v/>
      </c>
    </row>
    <row r="17" spans="1:12" x14ac:dyDescent="0.2">
      <c r="A17" t="s">
        <v>71</v>
      </c>
      <c r="B17" t="s">
        <v>96</v>
      </c>
      <c r="D17" t="str">
        <f t="shared" si="0"/>
        <v/>
      </c>
      <c r="E17" t="s">
        <v>71</v>
      </c>
      <c r="F17" t="str">
        <f t="shared" si="1"/>
        <v/>
      </c>
      <c r="G17" t="s">
        <v>71</v>
      </c>
      <c r="H17" t="s">
        <v>93</v>
      </c>
      <c r="I17" t="str">
        <f t="shared" si="2"/>
        <v/>
      </c>
      <c r="J17" t="s">
        <v>71</v>
      </c>
      <c r="K17" t="s">
        <v>93</v>
      </c>
      <c r="L17" t="str">
        <f t="shared" si="3"/>
        <v/>
      </c>
    </row>
    <row r="18" spans="1:12" x14ac:dyDescent="0.2">
      <c r="A18" t="s">
        <v>104</v>
      </c>
      <c r="B18" t="s">
        <v>96</v>
      </c>
      <c r="D18" t="str">
        <f t="shared" si="0"/>
        <v/>
      </c>
      <c r="F18" t="str">
        <f t="shared" si="1"/>
        <v/>
      </c>
      <c r="I18" t="str">
        <f t="shared" si="2"/>
        <v/>
      </c>
      <c r="L18" t="str">
        <f t="shared" si="3"/>
        <v/>
      </c>
    </row>
    <row r="19" spans="1:12" x14ac:dyDescent="0.2">
      <c r="A19" s="7" t="s">
        <v>80</v>
      </c>
      <c r="B19" s="8" t="s">
        <v>96</v>
      </c>
      <c r="C19" t="s">
        <v>80</v>
      </c>
      <c r="D19" t="str">
        <f t="shared" si="0"/>
        <v/>
      </c>
      <c r="F19" t="str">
        <f t="shared" si="1"/>
        <v/>
      </c>
      <c r="G19" t="s">
        <v>134</v>
      </c>
      <c r="H19" t="s">
        <v>93</v>
      </c>
      <c r="I19" t="str">
        <f t="shared" si="2"/>
        <v/>
      </c>
      <c r="L19" t="str">
        <f t="shared" si="3"/>
        <v/>
      </c>
    </row>
    <row r="20" spans="1:12" x14ac:dyDescent="0.2">
      <c r="A20" t="s">
        <v>84</v>
      </c>
      <c r="B20" t="s">
        <v>96</v>
      </c>
      <c r="D20" t="str">
        <f t="shared" si="0"/>
        <v/>
      </c>
      <c r="F20" t="str">
        <f t="shared" si="1"/>
        <v/>
      </c>
      <c r="G20" t="s">
        <v>84</v>
      </c>
      <c r="I20" t="str">
        <f t="shared" si="2"/>
        <v/>
      </c>
      <c r="L20" t="str">
        <f t="shared" si="3"/>
        <v/>
      </c>
    </row>
    <row r="21" spans="1:12" x14ac:dyDescent="0.2">
      <c r="A21" t="s">
        <v>108</v>
      </c>
      <c r="B21" t="s">
        <v>96</v>
      </c>
      <c r="D21" t="str">
        <f t="shared" si="0"/>
        <v/>
      </c>
      <c r="F21" t="str">
        <f t="shared" si="1"/>
        <v/>
      </c>
      <c r="I21" t="str">
        <f t="shared" si="2"/>
        <v/>
      </c>
      <c r="L21" t="str">
        <f t="shared" si="3"/>
        <v/>
      </c>
    </row>
    <row r="22" spans="1:12" x14ac:dyDescent="0.2">
      <c r="A22" t="s">
        <v>72</v>
      </c>
      <c r="B22" t="s">
        <v>96</v>
      </c>
      <c r="D22" t="str">
        <f t="shared" si="0"/>
        <v/>
      </c>
      <c r="E22" t="s">
        <v>72</v>
      </c>
      <c r="F22" t="str">
        <f t="shared" si="1"/>
        <v/>
      </c>
      <c r="I22" t="str">
        <f t="shared" si="2"/>
        <v/>
      </c>
      <c r="L22" t="str">
        <f t="shared" si="3"/>
        <v/>
      </c>
    </row>
    <row r="23" spans="1:12" x14ac:dyDescent="0.2">
      <c r="A23" t="s">
        <v>73</v>
      </c>
      <c r="B23" t="s">
        <v>96</v>
      </c>
      <c r="D23" t="str">
        <f t="shared" si="0"/>
        <v/>
      </c>
      <c r="E23" t="s">
        <v>73</v>
      </c>
      <c r="F23" t="str">
        <f t="shared" si="1"/>
        <v/>
      </c>
      <c r="G23" t="s">
        <v>73</v>
      </c>
      <c r="I23" t="str">
        <f t="shared" si="2"/>
        <v/>
      </c>
      <c r="J23" t="s">
        <v>73</v>
      </c>
      <c r="L23" t="str">
        <f t="shared" si="3"/>
        <v/>
      </c>
    </row>
    <row r="24" spans="1:12" x14ac:dyDescent="0.2">
      <c r="A24" t="s">
        <v>86</v>
      </c>
      <c r="B24" t="s">
        <v>96</v>
      </c>
      <c r="D24" t="str">
        <f t="shared" si="0"/>
        <v/>
      </c>
      <c r="F24" t="str">
        <f t="shared" si="1"/>
        <v/>
      </c>
      <c r="G24" t="s">
        <v>86</v>
      </c>
      <c r="I24" t="str">
        <f t="shared" si="2"/>
        <v/>
      </c>
      <c r="L24" t="str">
        <f t="shared" si="3"/>
        <v/>
      </c>
    </row>
    <row r="25" spans="1:12" x14ac:dyDescent="0.2">
      <c r="A25" t="s">
        <v>109</v>
      </c>
      <c r="B25" t="s">
        <v>96</v>
      </c>
      <c r="D25" t="str">
        <f t="shared" si="0"/>
        <v/>
      </c>
      <c r="F25" t="str">
        <f t="shared" si="1"/>
        <v/>
      </c>
      <c r="G25" t="s">
        <v>133</v>
      </c>
      <c r="I25" t="str">
        <f t="shared" si="2"/>
        <v/>
      </c>
      <c r="L25" t="str">
        <f t="shared" si="3"/>
        <v/>
      </c>
    </row>
    <row r="26" spans="1:12" x14ac:dyDescent="0.2">
      <c r="A26" t="s">
        <v>74</v>
      </c>
      <c r="B26" t="s">
        <v>96</v>
      </c>
      <c r="C26" t="s">
        <v>74</v>
      </c>
      <c r="D26" t="str">
        <f t="shared" si="0"/>
        <v/>
      </c>
      <c r="E26" t="s">
        <v>74</v>
      </c>
      <c r="F26" t="str">
        <f t="shared" si="1"/>
        <v/>
      </c>
      <c r="G26" t="s">
        <v>74</v>
      </c>
      <c r="H26" t="s">
        <v>93</v>
      </c>
      <c r="I26" t="str">
        <f t="shared" si="2"/>
        <v/>
      </c>
      <c r="J26" t="s">
        <v>74</v>
      </c>
      <c r="K26" t="s">
        <v>93</v>
      </c>
      <c r="L26" t="str">
        <f t="shared" si="3"/>
        <v/>
      </c>
    </row>
    <row r="27" spans="1:12" x14ac:dyDescent="0.2">
      <c r="A27" t="s">
        <v>81</v>
      </c>
      <c r="B27" t="s">
        <v>96</v>
      </c>
      <c r="C27" t="s">
        <v>81</v>
      </c>
      <c r="D27" t="str">
        <f t="shared" si="0"/>
        <v/>
      </c>
      <c r="F27" t="str">
        <f t="shared" si="1"/>
        <v/>
      </c>
      <c r="G27" t="s">
        <v>81</v>
      </c>
      <c r="I27" t="str">
        <f t="shared" si="2"/>
        <v/>
      </c>
      <c r="L27" t="str">
        <f t="shared" si="3"/>
        <v/>
      </c>
    </row>
    <row r="28" spans="1:12" x14ac:dyDescent="0.2">
      <c r="A28" t="s">
        <v>111</v>
      </c>
      <c r="B28" t="s">
        <v>96</v>
      </c>
      <c r="D28" t="str">
        <f t="shared" si="0"/>
        <v/>
      </c>
      <c r="E28" t="s">
        <v>130</v>
      </c>
      <c r="F28" t="str">
        <f t="shared" si="1"/>
        <v/>
      </c>
      <c r="G28" t="s">
        <v>138</v>
      </c>
      <c r="H28" t="s">
        <v>93</v>
      </c>
      <c r="I28" t="str">
        <f t="shared" si="2"/>
        <v/>
      </c>
      <c r="J28" t="s">
        <v>138</v>
      </c>
      <c r="K28" t="s">
        <v>93</v>
      </c>
      <c r="L28" t="str">
        <f t="shared" si="3"/>
        <v/>
      </c>
    </row>
    <row r="29" spans="1:12" x14ac:dyDescent="0.2">
      <c r="A29" t="s">
        <v>112</v>
      </c>
      <c r="B29" t="s">
        <v>96</v>
      </c>
      <c r="D29" t="str">
        <f t="shared" si="0"/>
        <v/>
      </c>
      <c r="F29" t="str">
        <f t="shared" si="1"/>
        <v/>
      </c>
      <c r="I29" t="str">
        <f t="shared" si="2"/>
        <v/>
      </c>
      <c r="L29" t="str">
        <f t="shared" si="3"/>
        <v/>
      </c>
    </row>
    <row r="30" spans="1:12" x14ac:dyDescent="0.2">
      <c r="A30" t="s">
        <v>113</v>
      </c>
      <c r="B30" t="s">
        <v>96</v>
      </c>
      <c r="D30" t="str">
        <f t="shared" si="0"/>
        <v/>
      </c>
      <c r="F30" t="str">
        <f t="shared" si="1"/>
        <v/>
      </c>
      <c r="G30" t="s">
        <v>139</v>
      </c>
      <c r="I30" t="str">
        <f t="shared" si="2"/>
        <v/>
      </c>
      <c r="L30" t="str">
        <f t="shared" si="3"/>
        <v/>
      </c>
    </row>
    <row r="31" spans="1:12" x14ac:dyDescent="0.2">
      <c r="A31" t="s">
        <v>114</v>
      </c>
      <c r="B31" t="s">
        <v>96</v>
      </c>
      <c r="D31" t="str">
        <f t="shared" si="0"/>
        <v/>
      </c>
      <c r="F31" t="str">
        <f t="shared" si="1"/>
        <v/>
      </c>
      <c r="I31" t="str">
        <f t="shared" si="2"/>
        <v/>
      </c>
      <c r="L31" t="str">
        <f t="shared" si="3"/>
        <v/>
      </c>
    </row>
    <row r="32" spans="1:12" x14ac:dyDescent="0.2">
      <c r="A32" t="s">
        <v>115</v>
      </c>
      <c r="B32" t="s">
        <v>96</v>
      </c>
      <c r="D32" t="str">
        <f t="shared" si="0"/>
        <v/>
      </c>
      <c r="F32" t="str">
        <f t="shared" si="1"/>
        <v/>
      </c>
      <c r="G32" t="s">
        <v>132</v>
      </c>
      <c r="H32" t="s">
        <v>93</v>
      </c>
      <c r="I32" t="str">
        <f t="shared" si="2"/>
        <v/>
      </c>
      <c r="J32" t="s">
        <v>115</v>
      </c>
      <c r="K32" t="s">
        <v>93</v>
      </c>
      <c r="L32" t="str">
        <f t="shared" si="3"/>
        <v/>
      </c>
    </row>
    <row r="33" spans="1:12" x14ac:dyDescent="0.2">
      <c r="A33" t="s">
        <v>118</v>
      </c>
      <c r="B33" t="s">
        <v>96</v>
      </c>
      <c r="D33" t="str">
        <f t="shared" si="0"/>
        <v/>
      </c>
      <c r="F33" t="str">
        <f t="shared" si="1"/>
        <v/>
      </c>
      <c r="I33" t="str">
        <f t="shared" si="2"/>
        <v/>
      </c>
      <c r="L33" t="str">
        <f t="shared" si="3"/>
        <v/>
      </c>
    </row>
    <row r="34" spans="1:12" x14ac:dyDescent="0.2">
      <c r="A34" t="s">
        <v>89</v>
      </c>
      <c r="B34" t="s">
        <v>96</v>
      </c>
      <c r="C34" t="s">
        <v>89</v>
      </c>
      <c r="D34" t="str">
        <f t="shared" si="0"/>
        <v/>
      </c>
      <c r="E34" t="s">
        <v>89</v>
      </c>
      <c r="F34" t="str">
        <f t="shared" si="1"/>
        <v/>
      </c>
      <c r="G34" t="s">
        <v>89</v>
      </c>
      <c r="H34" t="s">
        <v>93</v>
      </c>
      <c r="I34" t="str">
        <f t="shared" si="2"/>
        <v/>
      </c>
      <c r="J34" t="s">
        <v>89</v>
      </c>
      <c r="K34" t="s">
        <v>93</v>
      </c>
      <c r="L34" t="str">
        <f t="shared" si="3"/>
        <v/>
      </c>
    </row>
    <row r="35" spans="1:12" x14ac:dyDescent="0.2">
      <c r="A35" t="s">
        <v>90</v>
      </c>
      <c r="B35" t="s">
        <v>96</v>
      </c>
      <c r="D35" t="str">
        <f t="shared" si="0"/>
        <v/>
      </c>
      <c r="F35" t="str">
        <f t="shared" si="1"/>
        <v/>
      </c>
      <c r="G35" t="s">
        <v>90</v>
      </c>
      <c r="I35" t="str">
        <f t="shared" si="2"/>
        <v/>
      </c>
      <c r="L35" t="str">
        <f t="shared" si="3"/>
        <v/>
      </c>
    </row>
    <row r="36" spans="1:12" x14ac:dyDescent="0.2">
      <c r="A36" t="s">
        <v>91</v>
      </c>
      <c r="B36" t="s">
        <v>96</v>
      </c>
      <c r="D36" t="str">
        <f t="shared" si="0"/>
        <v/>
      </c>
      <c r="F36" t="str">
        <f t="shared" si="1"/>
        <v/>
      </c>
      <c r="G36" t="s">
        <v>91</v>
      </c>
      <c r="I36" t="str">
        <f t="shared" si="2"/>
        <v/>
      </c>
      <c r="L36" t="str">
        <f t="shared" si="3"/>
        <v/>
      </c>
    </row>
    <row r="37" spans="1:12" x14ac:dyDescent="0.2">
      <c r="A37" t="s">
        <v>75</v>
      </c>
      <c r="B37" t="s">
        <v>96</v>
      </c>
      <c r="C37" t="s">
        <v>75</v>
      </c>
      <c r="D37" t="str">
        <f t="shared" ref="D37:D57" si="4">IF(C37&gt;"",IF(C37=A37,"","X"),"")</f>
        <v/>
      </c>
      <c r="E37" t="s">
        <v>75</v>
      </c>
      <c r="F37" t="str">
        <f t="shared" ref="F37:F53" si="5">IF(E37&gt;"",IF(E37=$A37,"","X"),"")</f>
        <v/>
      </c>
      <c r="G37" t="s">
        <v>75</v>
      </c>
      <c r="H37" t="s">
        <v>93</v>
      </c>
      <c r="I37" t="str">
        <f t="shared" ref="I37:I56" si="6">IF(G37&gt;"",IF(G37=$A37,"","X"),"")</f>
        <v/>
      </c>
      <c r="J37" t="s">
        <v>75</v>
      </c>
      <c r="K37" t="s">
        <v>93</v>
      </c>
      <c r="L37" t="str">
        <f t="shared" ref="L37:L54" si="7">IF(J37&gt;"",IF(J37=$A37,"","X"),"")</f>
        <v/>
      </c>
    </row>
    <row r="38" spans="1:12" x14ac:dyDescent="0.2">
      <c r="A38" t="s">
        <v>82</v>
      </c>
      <c r="B38" t="s">
        <v>96</v>
      </c>
      <c r="C38" t="s">
        <v>82</v>
      </c>
      <c r="D38" t="str">
        <f t="shared" si="4"/>
        <v/>
      </c>
      <c r="E38" t="s">
        <v>131</v>
      </c>
      <c r="F38" t="str">
        <f t="shared" si="5"/>
        <v/>
      </c>
      <c r="G38" t="s">
        <v>131</v>
      </c>
      <c r="H38" t="s">
        <v>93</v>
      </c>
      <c r="I38" t="str">
        <f t="shared" si="6"/>
        <v/>
      </c>
      <c r="J38" t="s">
        <v>131</v>
      </c>
      <c r="K38" t="s">
        <v>93</v>
      </c>
      <c r="L38" t="str">
        <f t="shared" si="7"/>
        <v/>
      </c>
    </row>
    <row r="39" spans="1:12" x14ac:dyDescent="0.2">
      <c r="A39" t="s">
        <v>97</v>
      </c>
      <c r="B39" t="s">
        <v>146</v>
      </c>
      <c r="C39" s="2"/>
      <c r="D39" t="str">
        <f t="shared" si="4"/>
        <v/>
      </c>
      <c r="F39" t="str">
        <f t="shared" si="5"/>
        <v/>
      </c>
      <c r="I39" t="str">
        <f t="shared" si="6"/>
        <v/>
      </c>
      <c r="L39" t="str">
        <f t="shared" si="7"/>
        <v/>
      </c>
    </row>
    <row r="40" spans="1:12" x14ac:dyDescent="0.2">
      <c r="A40" t="s">
        <v>98</v>
      </c>
      <c r="B40" t="s">
        <v>146</v>
      </c>
      <c r="C40" s="2"/>
      <c r="D40" t="str">
        <f t="shared" si="4"/>
        <v/>
      </c>
      <c r="F40" t="str">
        <f t="shared" si="5"/>
        <v/>
      </c>
      <c r="I40" t="str">
        <f t="shared" si="6"/>
        <v/>
      </c>
      <c r="L40" t="str">
        <f t="shared" si="7"/>
        <v/>
      </c>
    </row>
    <row r="41" spans="1:12" x14ac:dyDescent="0.2">
      <c r="A41" t="s">
        <v>125</v>
      </c>
      <c r="B41" t="s">
        <v>146</v>
      </c>
      <c r="D41" t="str">
        <f t="shared" si="4"/>
        <v/>
      </c>
      <c r="F41" t="str">
        <f t="shared" si="5"/>
        <v/>
      </c>
      <c r="I41" t="str">
        <f t="shared" si="6"/>
        <v/>
      </c>
      <c r="L41" t="str">
        <f t="shared" si="7"/>
        <v/>
      </c>
    </row>
    <row r="42" spans="1:12" x14ac:dyDescent="0.2">
      <c r="A42" t="s">
        <v>103</v>
      </c>
      <c r="B42" t="s">
        <v>146</v>
      </c>
      <c r="D42" t="str">
        <f t="shared" si="4"/>
        <v/>
      </c>
      <c r="F42" t="str">
        <f t="shared" si="5"/>
        <v/>
      </c>
      <c r="I42" t="str">
        <f t="shared" si="6"/>
        <v/>
      </c>
      <c r="L42" t="str">
        <f t="shared" si="7"/>
        <v/>
      </c>
    </row>
    <row r="43" spans="1:12" x14ac:dyDescent="0.2">
      <c r="A43" t="s">
        <v>105</v>
      </c>
      <c r="B43" t="s">
        <v>146</v>
      </c>
      <c r="D43" t="str">
        <f t="shared" si="4"/>
        <v/>
      </c>
      <c r="F43" t="str">
        <f t="shared" si="5"/>
        <v/>
      </c>
      <c r="I43" t="str">
        <f t="shared" si="6"/>
        <v/>
      </c>
      <c r="L43" t="str">
        <f t="shared" si="7"/>
        <v/>
      </c>
    </row>
    <row r="44" spans="1:12" x14ac:dyDescent="0.2">
      <c r="A44" t="s">
        <v>106</v>
      </c>
      <c r="B44" t="s">
        <v>146</v>
      </c>
      <c r="D44" t="str">
        <f t="shared" si="4"/>
        <v/>
      </c>
      <c r="F44" t="str">
        <f t="shared" si="5"/>
        <v/>
      </c>
      <c r="I44" t="str">
        <f t="shared" si="6"/>
        <v/>
      </c>
      <c r="L44" t="str">
        <f t="shared" si="7"/>
        <v/>
      </c>
    </row>
    <row r="45" spans="1:12" x14ac:dyDescent="0.2">
      <c r="A45" t="s">
        <v>107</v>
      </c>
      <c r="B45" t="s">
        <v>146</v>
      </c>
      <c r="D45" t="str">
        <f t="shared" si="4"/>
        <v/>
      </c>
      <c r="F45" t="str">
        <f t="shared" si="5"/>
        <v/>
      </c>
      <c r="I45" t="str">
        <f t="shared" si="6"/>
        <v/>
      </c>
      <c r="L45" t="str">
        <f t="shared" si="7"/>
        <v/>
      </c>
    </row>
    <row r="46" spans="1:12" x14ac:dyDescent="0.2">
      <c r="A46" t="s">
        <v>110</v>
      </c>
      <c r="B46" t="s">
        <v>146</v>
      </c>
      <c r="D46" t="str">
        <f t="shared" si="4"/>
        <v/>
      </c>
      <c r="F46" t="str">
        <f t="shared" si="5"/>
        <v/>
      </c>
      <c r="I46" t="str">
        <f t="shared" si="6"/>
        <v/>
      </c>
      <c r="L46" t="str">
        <f t="shared" si="7"/>
        <v/>
      </c>
    </row>
    <row r="47" spans="1:12" x14ac:dyDescent="0.2">
      <c r="A47" t="s">
        <v>116</v>
      </c>
      <c r="B47" t="s">
        <v>146</v>
      </c>
      <c r="D47" t="str">
        <f t="shared" si="4"/>
        <v/>
      </c>
      <c r="F47" t="str">
        <f t="shared" si="5"/>
        <v/>
      </c>
      <c r="G47" t="s">
        <v>135</v>
      </c>
      <c r="I47" t="str">
        <f t="shared" si="6"/>
        <v/>
      </c>
      <c r="L47" t="str">
        <f t="shared" si="7"/>
        <v/>
      </c>
    </row>
    <row r="48" spans="1:12" x14ac:dyDescent="0.2">
      <c r="A48" t="s">
        <v>117</v>
      </c>
      <c r="B48" t="s">
        <v>146</v>
      </c>
      <c r="D48" t="str">
        <f t="shared" si="4"/>
        <v/>
      </c>
      <c r="F48" t="str">
        <f t="shared" si="5"/>
        <v/>
      </c>
      <c r="I48" t="str">
        <f t="shared" si="6"/>
        <v/>
      </c>
      <c r="L48" t="str">
        <f t="shared" si="7"/>
        <v/>
      </c>
    </row>
    <row r="49" spans="1:12" x14ac:dyDescent="0.2">
      <c r="A49" t="s">
        <v>119</v>
      </c>
      <c r="B49" t="s">
        <v>146</v>
      </c>
      <c r="D49" t="str">
        <f t="shared" si="4"/>
        <v/>
      </c>
      <c r="F49" t="str">
        <f t="shared" si="5"/>
        <v/>
      </c>
      <c r="I49" t="str">
        <f t="shared" si="6"/>
        <v/>
      </c>
      <c r="L49" t="str">
        <f t="shared" si="7"/>
        <v/>
      </c>
    </row>
    <row r="50" spans="1:12" x14ac:dyDescent="0.2">
      <c r="A50" t="s">
        <v>121</v>
      </c>
      <c r="B50" t="s">
        <v>146</v>
      </c>
      <c r="D50" t="str">
        <f t="shared" si="4"/>
        <v/>
      </c>
      <c r="F50" t="str">
        <f t="shared" si="5"/>
        <v/>
      </c>
      <c r="I50" t="str">
        <f t="shared" si="6"/>
        <v/>
      </c>
      <c r="L50" t="str">
        <f t="shared" si="7"/>
        <v/>
      </c>
    </row>
    <row r="51" spans="1:12" x14ac:dyDescent="0.2">
      <c r="A51" t="s">
        <v>122</v>
      </c>
      <c r="B51" t="s">
        <v>146</v>
      </c>
      <c r="D51" t="str">
        <f t="shared" si="4"/>
        <v/>
      </c>
      <c r="F51" t="str">
        <f t="shared" si="5"/>
        <v/>
      </c>
      <c r="I51" t="str">
        <f t="shared" si="6"/>
        <v/>
      </c>
      <c r="L51" t="str">
        <f t="shared" si="7"/>
        <v/>
      </c>
    </row>
    <row r="52" spans="1:12" x14ac:dyDescent="0.2">
      <c r="A52" t="s">
        <v>123</v>
      </c>
      <c r="B52" t="s">
        <v>146</v>
      </c>
      <c r="D52" t="str">
        <f t="shared" si="4"/>
        <v/>
      </c>
      <c r="F52" t="str">
        <f t="shared" si="5"/>
        <v/>
      </c>
      <c r="I52" t="str">
        <f t="shared" si="6"/>
        <v/>
      </c>
      <c r="L52" t="str">
        <f t="shared" si="7"/>
        <v/>
      </c>
    </row>
    <row r="53" spans="1:12" x14ac:dyDescent="0.2">
      <c r="A53" t="s">
        <v>124</v>
      </c>
      <c r="B53" t="s">
        <v>146</v>
      </c>
      <c r="D53" t="str">
        <f t="shared" si="4"/>
        <v/>
      </c>
      <c r="F53" t="str">
        <f t="shared" si="5"/>
        <v/>
      </c>
      <c r="I53" t="str">
        <f t="shared" si="6"/>
        <v/>
      </c>
      <c r="L53" t="str">
        <f t="shared" si="7"/>
        <v/>
      </c>
    </row>
    <row r="54" spans="1:12" x14ac:dyDescent="0.2">
      <c r="A54" s="8" t="s">
        <v>85</v>
      </c>
      <c r="D54" t="str">
        <f t="shared" si="4"/>
        <v/>
      </c>
      <c r="G54" t="s">
        <v>85</v>
      </c>
      <c r="I54" t="str">
        <f t="shared" si="6"/>
        <v/>
      </c>
      <c r="L54" t="str">
        <f t="shared" si="7"/>
        <v/>
      </c>
    </row>
    <row r="55" spans="1:12" x14ac:dyDescent="0.2">
      <c r="A55" s="8" t="s">
        <v>144</v>
      </c>
      <c r="D55" t="str">
        <f t="shared" si="4"/>
        <v/>
      </c>
      <c r="G55" t="s">
        <v>142</v>
      </c>
      <c r="I55" t="str">
        <f t="shared" si="6"/>
        <v/>
      </c>
    </row>
    <row r="56" spans="1:12" x14ac:dyDescent="0.2">
      <c r="A56" s="8" t="s">
        <v>145</v>
      </c>
      <c r="D56" t="str">
        <f t="shared" si="4"/>
        <v/>
      </c>
      <c r="F56" t="str">
        <f>IF(E56&gt;"",IF(E56=$A56,"","X"),"")</f>
        <v/>
      </c>
      <c r="I56" t="str">
        <f t="shared" si="6"/>
        <v/>
      </c>
      <c r="J56" t="s">
        <v>143</v>
      </c>
      <c r="K56" t="s">
        <v>93</v>
      </c>
    </row>
    <row r="57" spans="1:12" x14ac:dyDescent="0.2">
      <c r="A57" s="8" t="s">
        <v>92</v>
      </c>
      <c r="D57" t="str">
        <f t="shared" si="4"/>
        <v/>
      </c>
      <c r="F57" t="str">
        <f>IF(E57&gt;"",IF(E57=$A57,"","X"),"")</f>
        <v/>
      </c>
      <c r="G57" t="s">
        <v>92</v>
      </c>
      <c r="L57" t="str">
        <f>IF(J57&gt;"",IF(J57=$A57,"","X"),"")</f>
        <v/>
      </c>
    </row>
    <row r="58" spans="1:12" x14ac:dyDescent="0.2">
      <c r="D58" t="str">
        <f>IF(C82&gt;"",IF(C82=A57,"","X"),"")</f>
        <v/>
      </c>
    </row>
  </sheetData>
  <sortState xmlns:xlrd2="http://schemas.microsoft.com/office/spreadsheetml/2017/richdata2" ref="A5:L57">
    <sortCondition ref="B5:B57"/>
    <sortCondition ref="A5:A5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Burpee</vt:lpstr>
      <vt:lpstr>CMGH Seasons</vt:lpstr>
      <vt:lpstr>My Seasons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Bales, Don</dc:creator>
  <cp:lastModifiedBy>Bales, Don</cp:lastModifiedBy>
  <cp:lastPrinted>2025-09-24T15:27:17Z</cp:lastPrinted>
  <dcterms:created xsi:type="dcterms:W3CDTF">2024-12-03T22:12:42Z</dcterms:created>
  <dcterms:modified xsi:type="dcterms:W3CDTF">2025-11-24T16:47:09Z</dcterms:modified>
</cp:coreProperties>
</file>